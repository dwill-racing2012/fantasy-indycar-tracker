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ce_Dashboard" sheetId="1" r:id="rId5"/>
    <sheet state="visible" name="Driver_Stats" sheetId="2" r:id="rId6"/>
    <sheet state="visible" name="Race_Schedule" sheetId="3" r:id="rId7"/>
    <sheet state="visible" name="Driver_List" sheetId="4" r:id="rId8"/>
    <sheet state="visible" name="Race_Results" sheetId="5" r:id="rId9"/>
    <sheet state="visible" name="Tier_History" sheetId="6" r:id="rId10"/>
    <sheet state="visible" name="Practice_Results" sheetId="7" r:id="rId11"/>
    <sheet state="visible" name="Qualifying_Results" sheetId="8" r:id="rId12"/>
    <sheet state="visible" name="Beta_Dashboard" sheetId="9" r:id="rId13"/>
  </sheets>
  <definedNames/>
  <calcPr/>
</workbook>
</file>

<file path=xl/sharedStrings.xml><?xml version="1.0" encoding="utf-8"?>
<sst xmlns="http://schemas.openxmlformats.org/spreadsheetml/2006/main" count="613" uniqueCount="275">
  <si>
    <t>Race Name</t>
  </si>
  <si>
    <t xml:space="preserve">  Circuit Type</t>
  </si>
  <si>
    <t>Location</t>
  </si>
  <si>
    <t xml:space="preserve"> Weather Forecast</t>
  </si>
  <si>
    <t>Tier 1 Pick</t>
  </si>
  <si>
    <t>Tier 2 Pick</t>
  </si>
  <si>
    <t>Tier 3 Pick</t>
  </si>
  <si>
    <t>Tier 4 Pick</t>
  </si>
  <si>
    <t>Tier 5 Pick</t>
  </si>
  <si>
    <t>Tier 6 Pick</t>
  </si>
  <si>
    <t>Mock Race on Presto</t>
  </si>
  <si>
    <t>Street Course</t>
  </si>
  <si>
    <t>Scott McLaughlin</t>
  </si>
  <si>
    <t>Kyle Kirkwood</t>
  </si>
  <si>
    <t>Marcus Armstrong</t>
  </si>
  <si>
    <t>Rinus VeeKay</t>
  </si>
  <si>
    <t>Louis Foster</t>
  </si>
  <si>
    <t>Caio Collet (R)</t>
  </si>
  <si>
    <t>St Petersburg, FL</t>
  </si>
  <si>
    <t>Alex Palou</t>
  </si>
  <si>
    <t>Marcus Ericsson</t>
  </si>
  <si>
    <t>Romain Grosjean</t>
  </si>
  <si>
    <t>Dennis Hauger (R)</t>
  </si>
  <si>
    <t>Graham Rahal</t>
  </si>
  <si>
    <t>Mick Schumacher (R)</t>
  </si>
  <si>
    <t>Oval</t>
  </si>
  <si>
    <t>Avondale, AZ</t>
  </si>
  <si>
    <t>David Malukas</t>
  </si>
  <si>
    <t>Scott Dixon</t>
  </si>
  <si>
    <t>Felix Rosenqvist</t>
  </si>
  <si>
    <t>Sting Ray Robb</t>
  </si>
  <si>
    <t>Arlington, TX</t>
  </si>
  <si>
    <t>Road Course</t>
  </si>
  <si>
    <t>Birmingham, AL</t>
  </si>
  <si>
    <t>Long Beach, CA</t>
  </si>
  <si>
    <t>Speedway, IN</t>
  </si>
  <si>
    <t>Detroit, MI</t>
  </si>
  <si>
    <t>Madison, IL</t>
  </si>
  <si>
    <t>Elkhart Lake, WI</t>
  </si>
  <si>
    <t>Lexington, OH</t>
  </si>
  <si>
    <t>Lebanon, TN</t>
  </si>
  <si>
    <t>Portland, OR</t>
  </si>
  <si>
    <t>Markham, ON</t>
  </si>
  <si>
    <t>Washington, DC</t>
  </si>
  <si>
    <t>West Allis, WI</t>
  </si>
  <si>
    <t>Monterey, CA</t>
  </si>
  <si>
    <t>Driver Name</t>
  </si>
  <si>
    <t>Current Tier</t>
  </si>
  <si>
    <t>Avg Finish (Last 5)</t>
  </si>
  <si>
    <t>Oval Rating</t>
  </si>
  <si>
    <t>Road Rating</t>
  </si>
  <si>
    <t>Street Rating</t>
  </si>
  <si>
    <t>Tier Value Score</t>
  </si>
  <si>
    <t>Kyffin Simpson</t>
  </si>
  <si>
    <t>Will Power</t>
  </si>
  <si>
    <t>Josef Newgarden</t>
  </si>
  <si>
    <t>Pato O'Ward</t>
  </si>
  <si>
    <t>Christian Lundgaard</t>
  </si>
  <si>
    <t>Nolan Siegel</t>
  </si>
  <si>
    <t>Alexander Rossi</t>
  </si>
  <si>
    <t>Christian Rasmussen</t>
  </si>
  <si>
    <t>Santino Ferrucci</t>
  </si>
  <si>
    <t>Date</t>
  </si>
  <si>
    <t>Circuit Type</t>
  </si>
  <si>
    <t>Firestone Grand Prix of St. Petersburg</t>
  </si>
  <si>
    <t>St. Petersburg, FL, USA</t>
  </si>
  <si>
    <t>Street</t>
  </si>
  <si>
    <t>Good Ranchers 250</t>
  </si>
  <si>
    <t>Avondale, AZ, USA</t>
  </si>
  <si>
    <t>Java House Grand Prix of Arlington</t>
  </si>
  <si>
    <t>Arlington, TX, USA</t>
  </si>
  <si>
    <t>Children's of Alabama Indy Grand Prix</t>
  </si>
  <si>
    <t>Birmingham, AL, USA</t>
  </si>
  <si>
    <t>Road</t>
  </si>
  <si>
    <t>Acura Grand Prix of Long Beach</t>
  </si>
  <si>
    <t>Long Beach, CA, USA</t>
  </si>
  <si>
    <t>Sonsio Grand Prix (IMS Road Course)</t>
  </si>
  <si>
    <t>Speedway, IN, USA</t>
  </si>
  <si>
    <t>The 110th Indianapolis 500</t>
  </si>
  <si>
    <t>Chevrolet Detroit Grand Prix</t>
  </si>
  <si>
    <t>Detroit, MI, USA</t>
  </si>
  <si>
    <t>Bommarito Automotive Group 500</t>
  </si>
  <si>
    <t>Madison, IL, USA</t>
  </si>
  <si>
    <t>XPEL Grand Prix at Road America</t>
  </si>
  <si>
    <t>Elkhart Lake, WI, USA</t>
  </si>
  <si>
    <t>Honda Indy 200 at Mid-Ohio</t>
  </si>
  <si>
    <t>Lexington, OH, USA</t>
  </si>
  <si>
    <t>Borchetta Bourbon Music City Grand Prix</t>
  </si>
  <si>
    <t>Lebanon, TN, USA</t>
  </si>
  <si>
    <t>BITNILE.com Grand Prix of Portland</t>
  </si>
  <si>
    <t>Portland, OR, USA</t>
  </si>
  <si>
    <t>Ontario Honda Dealers Indy at Markham</t>
  </si>
  <si>
    <t>Markham, ON, Canada</t>
  </si>
  <si>
    <t>Freedom 250 Grand Prix of Washington D.C.</t>
  </si>
  <si>
    <t>Washington DC, USA</t>
  </si>
  <si>
    <t>Snap-on Makers and Fixers 250 (Milwaukee 1)</t>
  </si>
  <si>
    <t>West Allis, WI, USA</t>
  </si>
  <si>
    <t>Snap-on Milwaukee Mile 250 (Milwaukee 2)</t>
  </si>
  <si>
    <t>IndyCar Grand Prix of Monterey (Laguna Seca)</t>
  </si>
  <si>
    <t>Monterey, CA, USA</t>
  </si>
  <si>
    <t>Team</t>
  </si>
  <si>
    <t>Car #</t>
  </si>
  <si>
    <t>Engine</t>
  </si>
  <si>
    <t>Status</t>
  </si>
  <si>
    <t>Chip Ganassi Racing</t>
  </si>
  <si>
    <t>Honda</t>
  </si>
  <si>
    <t>Full-time</t>
  </si>
  <si>
    <t>Andretti Global</t>
  </si>
  <si>
    <t>Team Penske</t>
  </si>
  <si>
    <t>Chevrolet</t>
  </si>
  <si>
    <t>Arrow McLaren</t>
  </si>
  <si>
    <t>Meyer Shank Racing</t>
  </si>
  <si>
    <t>Rahal Letterman Lanigan</t>
  </si>
  <si>
    <t>Juncos Hollinger Racing</t>
  </si>
  <si>
    <t>ECR</t>
  </si>
  <si>
    <t>AJ Foyt Racing</t>
  </si>
  <si>
    <t>Dale Coyne Racing</t>
  </si>
  <si>
    <t>Race</t>
  </si>
  <si>
    <t>Driver</t>
  </si>
  <si>
    <t>Weekly Tier</t>
  </si>
  <si>
    <t>Finish Position</t>
  </si>
  <si>
    <t>Points Earned</t>
  </si>
  <si>
    <t>Weekly Total</t>
  </si>
  <si>
    <t>Season Total</t>
  </si>
  <si>
    <t>St. Petersburg</t>
  </si>
  <si>
    <t>Pheonix</t>
  </si>
  <si>
    <t>Arlington</t>
  </si>
  <si>
    <t>Barber</t>
  </si>
  <si>
    <t>Long Beach</t>
  </si>
  <si>
    <t>Indy Road</t>
  </si>
  <si>
    <t>Indy 500</t>
  </si>
  <si>
    <t>Detroit</t>
  </si>
  <si>
    <t>St. Louis</t>
  </si>
  <si>
    <t>Road America</t>
  </si>
  <si>
    <t>Mid-Ohio</t>
  </si>
  <si>
    <t>Nashville</t>
  </si>
  <si>
    <t>Portland</t>
  </si>
  <si>
    <t>Markham</t>
  </si>
  <si>
    <t>Freedom 250</t>
  </si>
  <si>
    <t>Milwaukee 1</t>
  </si>
  <si>
    <t>Milwaukee 2</t>
  </si>
  <si>
    <t>Laguna Seca</t>
  </si>
  <si>
    <t>Assigned Tier</t>
  </si>
  <si>
    <t>Finishing Position</t>
  </si>
  <si>
    <t>Tier Delta</t>
  </si>
  <si>
    <t>Rank</t>
  </si>
  <si>
    <t>Car</t>
  </si>
  <si>
    <t>Best Time</t>
  </si>
  <si>
    <t>Speed (MPH)</t>
  </si>
  <si>
    <t>Total Laps</t>
  </si>
  <si>
    <t>McLaughlin, Scott</t>
  </si>
  <si>
    <t>01:01.1020</t>
  </si>
  <si>
    <t>Rosenqvist, Felix</t>
  </si>
  <si>
    <t>01:01.1660</t>
  </si>
  <si>
    <t>Kirkwood, Kyle</t>
  </si>
  <si>
    <t>01:01.1777</t>
  </si>
  <si>
    <t>Simpson, Kyffin</t>
  </si>
  <si>
    <t>01:01.1782</t>
  </si>
  <si>
    <t>Ericsson, Marcus</t>
  </si>
  <si>
    <t>01:01.1967</t>
  </si>
  <si>
    <t>Palou, Alex</t>
  </si>
  <si>
    <t>01:01.2614</t>
  </si>
  <si>
    <t>Armstrong, Marcus</t>
  </si>
  <si>
    <t>01:01.3035</t>
  </si>
  <si>
    <t>Rasmussen, Christian</t>
  </si>
  <si>
    <t>01:01.4828</t>
  </si>
  <si>
    <t>Malukas, David</t>
  </si>
  <si>
    <t>01:01.4870</t>
  </si>
  <si>
    <t>Lundgaard, Christian</t>
  </si>
  <si>
    <t>01:01.5235</t>
  </si>
  <si>
    <t>VeeKay, Rinus</t>
  </si>
  <si>
    <t>01:01.5444</t>
  </si>
  <si>
    <t>O'Ward, Pato</t>
  </si>
  <si>
    <t>01:01.5754</t>
  </si>
  <si>
    <t>Grosjean, Romain</t>
  </si>
  <si>
    <t>01:01.7537</t>
  </si>
  <si>
    <t>Rossi, Alexander</t>
  </si>
  <si>
    <t>01:01.7653</t>
  </si>
  <si>
    <t>Newgarden, Josef</t>
  </si>
  <si>
    <t>01:01.7816</t>
  </si>
  <si>
    <t>Dixon, Scott</t>
  </si>
  <si>
    <t>01:01.7999</t>
  </si>
  <si>
    <t>Ferrucci, Santino</t>
  </si>
  <si>
    <t>01:01.8409</t>
  </si>
  <si>
    <t>Hauger, Dennis (R)</t>
  </si>
  <si>
    <t>01:01.8680</t>
  </si>
  <si>
    <t>Power, Will</t>
  </si>
  <si>
    <t>01:01.9388</t>
  </si>
  <si>
    <t>Robb, Sting Ray</t>
  </si>
  <si>
    <t>01:01.9905</t>
  </si>
  <si>
    <t>Siegel, Nolan</t>
  </si>
  <si>
    <t>01:02.0533</t>
  </si>
  <si>
    <t>Rahal, Graham</t>
  </si>
  <si>
    <t>01:02.1015</t>
  </si>
  <si>
    <t>Foster, Louis</t>
  </si>
  <si>
    <t>01:02.1520</t>
  </si>
  <si>
    <t>Schumacher, Mick (R)</t>
  </si>
  <si>
    <t>01:02.1707</t>
  </si>
  <si>
    <t>Collet, Caio (R)</t>
  </si>
  <si>
    <t>01:02.2576</t>
  </si>
  <si>
    <t>Time</t>
  </si>
  <si>
    <t>Session</t>
  </si>
  <si>
    <t>01:00.5426</t>
  </si>
  <si>
    <t>Round 3 / Firestone Fast Six</t>
  </si>
  <si>
    <t>01:00.5621</t>
  </si>
  <si>
    <t>01:00.5743</t>
  </si>
  <si>
    <t>01:00.6842</t>
  </si>
  <si>
    <t>01:00.7638</t>
  </si>
  <si>
    <t>01:01.3462</t>
  </si>
  <si>
    <t>01:00.7820</t>
  </si>
  <si>
    <t>Elimination Round 2 / Top 12</t>
  </si>
  <si>
    <t>01:00.8863</t>
  </si>
  <si>
    <t>01:00.9472</t>
  </si>
  <si>
    <t>01:00.9811</t>
  </si>
  <si>
    <t>01:00.9840</t>
  </si>
  <si>
    <t>01:00.9842</t>
  </si>
  <si>
    <t>01:01.1936</t>
  </si>
  <si>
    <t>Elimination Round 1 / Group 1</t>
  </si>
  <si>
    <t>01:01.1835</t>
  </si>
  <si>
    <t>Elimination Round 1 / Group 2</t>
  </si>
  <si>
    <t>01:01.2308</t>
  </si>
  <si>
    <t>01:01.2109</t>
  </si>
  <si>
    <t>01:01.2630</t>
  </si>
  <si>
    <t>01:01.2257</t>
  </si>
  <si>
    <t>01:01.3719</t>
  </si>
  <si>
    <t>01:01.3666</t>
  </si>
  <si>
    <t>01:01.3983</t>
  </si>
  <si>
    <t>01:01.4498</t>
  </si>
  <si>
    <t>01:01.4174</t>
  </si>
  <si>
    <t>01:01.5719</t>
  </si>
  <si>
    <t>01:01.6031</t>
  </si>
  <si>
    <t>Phoenix</t>
  </si>
  <si>
    <t>Time (2 Laps)</t>
  </si>
  <si>
    <t>Avg. Speed (MPH)</t>
  </si>
  <si>
    <t>00:41.0530</t>
  </si>
  <si>
    <t>00:41.2493</t>
  </si>
  <si>
    <t>Rahal Letterman Lanigan Racing</t>
  </si>
  <si>
    <t>00:41.3810</t>
  </si>
  <si>
    <t>Mick Schumacher</t>
  </si>
  <si>
    <t>00:41.4587</t>
  </si>
  <si>
    <t>00:41.5109</t>
  </si>
  <si>
    <t>Ed Carpenter Racing</t>
  </si>
  <si>
    <t>00:41.5252</t>
  </si>
  <si>
    <t>00:41.5359</t>
  </si>
  <si>
    <t>00:41.5589</t>
  </si>
  <si>
    <t>00:41.6322</t>
  </si>
  <si>
    <t>00:41.6454</t>
  </si>
  <si>
    <t>00:41.6478</t>
  </si>
  <si>
    <t>00:41.6821</t>
  </si>
  <si>
    <t>00:41.7067</t>
  </si>
  <si>
    <t>00:41.7236</t>
  </si>
  <si>
    <t>00:41.7634</t>
  </si>
  <si>
    <t>00:41.8120</t>
  </si>
  <si>
    <t>DNF</t>
  </si>
  <si>
    <t>174.137*</t>
  </si>
  <si>
    <t>DNS</t>
  </si>
  <si>
    <t>N/A</t>
  </si>
  <si>
    <t>Weather Forecast</t>
  </si>
  <si>
    <t>T1 Pick</t>
  </si>
  <si>
    <t>T1 Pts</t>
  </si>
  <si>
    <t>T2 Pick</t>
  </si>
  <si>
    <t>T2 Pts</t>
  </si>
  <si>
    <t>T3 Pick</t>
  </si>
  <si>
    <t>T3 Pts</t>
  </si>
  <si>
    <t>T4 Pick</t>
  </si>
  <si>
    <t>T4 Pts</t>
  </si>
  <si>
    <t>T5 Pick</t>
  </si>
  <si>
    <t>T5 Pts</t>
  </si>
  <si>
    <t>T6 Pick</t>
  </si>
  <si>
    <t>T6 Pts</t>
  </si>
  <si>
    <t>WEEKLY TOTAL</t>
  </si>
  <si>
    <t>St. Petersburg, FL</t>
  </si>
  <si>
    <t/>
  </si>
  <si>
    <t>Arlington GP</t>
  </si>
  <si>
    <t>Washington DC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</si>
</sst>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1">
    <font>
      <sz val="10.0"/>
      <color rgb="FF000000"/>
      <name val="Arial"/>
      <scheme val="minor"/>
    </font>
    <font>
      <b/>
      <u/>
      <sz val="12.0"/>
      <color theme="1"/>
      <name val="Arial"/>
      <scheme val="minor"/>
    </font>
    <font>
      <b/>
      <u/>
      <sz val="12.0"/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b/>
      <u/>
      <sz val="23.0"/>
      <color theme="1"/>
      <name val="Arial"/>
      <scheme val="minor"/>
    </font>
    <font>
      <b/>
      <u/>
      <sz val="23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Font="1"/>
    <xf borderId="0" fillId="0" fontId="4" numFmtId="0" xfId="0" applyFont="1"/>
    <xf borderId="0" fillId="0" fontId="4" numFmtId="164" xfId="0" applyAlignment="1" applyFont="1" applyNumberFormat="1">
      <alignment readingOrder="0"/>
    </xf>
    <xf borderId="0" fillId="0" fontId="7" numFmtId="0" xfId="0" applyAlignment="1" applyFont="1">
      <alignment horizontal="center" readingOrder="0"/>
    </xf>
    <xf borderId="0" fillId="0" fontId="8" numFmtId="0" xfId="0" applyAlignment="1" applyFont="1">
      <alignment horizontal="center"/>
    </xf>
    <xf borderId="0" fillId="0" fontId="9" numFmtId="0" xfId="0" applyAlignment="1" applyFont="1">
      <alignment readingOrder="0" shrinkToFit="0" wrapText="0"/>
    </xf>
    <xf borderId="0" fillId="0" fontId="10" numFmtId="0" xfId="0" applyAlignment="1" applyFont="1">
      <alignment shrinkToFit="0" wrapText="0"/>
    </xf>
    <xf borderId="0" fillId="2" fontId="4" numFmtId="0" xfId="0" applyFill="1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6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hidden="1" customHeight="1">
      <c r="A2" s="3" t="s">
        <v>10</v>
      </c>
      <c r="B2" s="4" t="s">
        <v>11</v>
      </c>
      <c r="D2" s="4"/>
      <c r="E2" s="4" t="s">
        <v>12</v>
      </c>
      <c r="F2" s="4" t="s">
        <v>13</v>
      </c>
      <c r="G2" s="4" t="s">
        <v>14</v>
      </c>
      <c r="H2" s="4" t="s">
        <v>15</v>
      </c>
      <c r="I2" s="4" t="s">
        <v>16</v>
      </c>
      <c r="J2" s="4" t="s">
        <v>17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6.5" customHeight="1">
      <c r="A3" s="3" t="str">
        <f>Race_Schedule!A2</f>
        <v>Firestone Grand Prix of St. Petersburg</v>
      </c>
      <c r="B3" s="4" t="s">
        <v>11</v>
      </c>
      <c r="C3" s="6" t="s">
        <v>18</v>
      </c>
      <c r="D3" s="5" t="str">
        <f t="shared" ref="D3:D20" si="1">GET_WEATHER(C3)</f>
        <v>52°F, 0% Rain</v>
      </c>
      <c r="E3" s="4" t="s">
        <v>19</v>
      </c>
      <c r="F3" s="4" t="s">
        <v>20</v>
      </c>
      <c r="G3" s="4" t="s">
        <v>21</v>
      </c>
      <c r="H3" s="4" t="s">
        <v>22</v>
      </c>
      <c r="I3" s="4" t="s">
        <v>23</v>
      </c>
      <c r="J3" s="4" t="s">
        <v>24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6.5" customHeight="1">
      <c r="A4" s="5" t="str">
        <f>Race_Schedule!A3</f>
        <v>Good Ranchers 250</v>
      </c>
      <c r="B4" s="4" t="s">
        <v>25</v>
      </c>
      <c r="C4" s="6" t="s">
        <v>26</v>
      </c>
      <c r="D4" s="5" t="str">
        <f t="shared" si="1"/>
        <v>98°F, 0% Rain</v>
      </c>
      <c r="E4" s="4" t="s">
        <v>27</v>
      </c>
      <c r="F4" s="4" t="s">
        <v>28</v>
      </c>
      <c r="G4" s="4" t="s">
        <v>24</v>
      </c>
      <c r="H4" s="4" t="s">
        <v>29</v>
      </c>
      <c r="I4" s="4" t="s">
        <v>16</v>
      </c>
      <c r="J4" s="4" t="s">
        <v>30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6.5" customHeight="1">
      <c r="A5" s="3" t="str">
        <f>Race_Schedule!A4</f>
        <v>Java House Grand Prix of Arlington</v>
      </c>
      <c r="B5" s="4" t="s">
        <v>11</v>
      </c>
      <c r="C5" s="6" t="s">
        <v>31</v>
      </c>
      <c r="D5" s="5" t="str">
        <f t="shared" si="1"/>
        <v>79°F, 0% Rain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6.5" customHeight="1">
      <c r="A6" s="5" t="str">
        <f>Race_Schedule!A5</f>
        <v>Children's of Alabama Indy Grand Prix</v>
      </c>
      <c r="B6" s="4" t="s">
        <v>32</v>
      </c>
      <c r="C6" s="6" t="s">
        <v>33</v>
      </c>
      <c r="D6" s="5" t="str">
        <f t="shared" si="1"/>
        <v>55°F, 0% Rain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6.5" customHeight="1">
      <c r="A7" s="3" t="str">
        <f>Race_Schedule!A6</f>
        <v>Acura Grand Prix of Long Beach</v>
      </c>
      <c r="B7" s="4" t="s">
        <v>32</v>
      </c>
      <c r="C7" s="6" t="s">
        <v>34</v>
      </c>
      <c r="D7" s="5" t="str">
        <f t="shared" si="1"/>
        <v>69°F, 0% Rain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6.5" customHeight="1">
      <c r="A8" s="5" t="str">
        <f>Race_Schedule!A7</f>
        <v>Sonsio Grand Prix (IMS Road Course)</v>
      </c>
      <c r="B8" s="4" t="s">
        <v>32</v>
      </c>
      <c r="C8" s="6" t="s">
        <v>35</v>
      </c>
      <c r="D8" s="5" t="str">
        <f t="shared" si="1"/>
        <v>44°F, 16% Rain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6.5" customHeight="1">
      <c r="A9" s="3" t="str">
        <f>Race_Schedule!A8</f>
        <v>The 110th Indianapolis 500</v>
      </c>
      <c r="B9" s="4" t="s">
        <v>25</v>
      </c>
      <c r="C9" s="6" t="s">
        <v>35</v>
      </c>
      <c r="D9" s="5" t="str">
        <f t="shared" si="1"/>
        <v>44°F, 16% Rain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6.5" customHeight="1">
      <c r="A10" s="5" t="str">
        <f>Race_Schedule!A9</f>
        <v>Chevrolet Detroit Grand Prix</v>
      </c>
      <c r="B10" s="4" t="s">
        <v>11</v>
      </c>
      <c r="C10" s="6" t="s">
        <v>36</v>
      </c>
      <c r="D10" s="5" t="str">
        <f t="shared" si="1"/>
        <v>38°F, 15% Rain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6.5" customHeight="1">
      <c r="A11" s="3" t="str">
        <f>Race_Schedule!A10</f>
        <v>Bommarito Automotive Group 500</v>
      </c>
      <c r="B11" s="4" t="s">
        <v>25</v>
      </c>
      <c r="C11" s="6" t="s">
        <v>37</v>
      </c>
      <c r="D11" s="5" t="str">
        <f t="shared" si="1"/>
        <v>44°F, 0% Rain</v>
      </c>
      <c r="E11" s="4"/>
      <c r="F11" s="4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6.5" customHeight="1">
      <c r="A12" s="5" t="str">
        <f>Race_Schedule!A11</f>
        <v>XPEL Grand Prix at Road America</v>
      </c>
      <c r="B12" s="4" t="s">
        <v>32</v>
      </c>
      <c r="C12" s="6" t="s">
        <v>38</v>
      </c>
      <c r="D12" s="5" t="str">
        <f t="shared" si="1"/>
        <v>36°F, 0% Rain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6.5" customHeight="1">
      <c r="A13" s="3" t="str">
        <f>Race_Schedule!A12</f>
        <v>Honda Indy 200 at Mid-Ohio</v>
      </c>
      <c r="B13" s="4" t="s">
        <v>32</v>
      </c>
      <c r="C13" s="6" t="s">
        <v>39</v>
      </c>
      <c r="D13" s="5" t="str">
        <f t="shared" si="1"/>
        <v>74°F, 61% Rain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6.5" customHeight="1">
      <c r="A14" s="5" t="str">
        <f>Race_Schedule!A13</f>
        <v>Borchetta Bourbon Music City Grand Prix</v>
      </c>
      <c r="B14" s="4" t="s">
        <v>25</v>
      </c>
      <c r="C14" s="6" t="s">
        <v>40</v>
      </c>
      <c r="D14" s="5" t="str">
        <f t="shared" si="1"/>
        <v>50°F, 100% Rain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6.5" customHeight="1">
      <c r="A15" s="3" t="str">
        <f>Race_Schedule!A14</f>
        <v>BITNILE.com Grand Prix of Portland</v>
      </c>
      <c r="B15" s="4" t="s">
        <v>32</v>
      </c>
      <c r="C15" s="6" t="s">
        <v>41</v>
      </c>
      <c r="D15" s="5" t="str">
        <f t="shared" si="1"/>
        <v>55°F, 9% Rain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6.5" customHeight="1">
      <c r="A16" s="5" t="str">
        <f>Race_Schedule!A15</f>
        <v>Ontario Honda Dealers Indy at Markham</v>
      </c>
      <c r="B16" s="4" t="s">
        <v>11</v>
      </c>
      <c r="C16" s="6" t="s">
        <v>42</v>
      </c>
      <c r="D16" s="5" t="str">
        <f t="shared" si="1"/>
        <v>35°F, 20% Rain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6.5" customHeight="1">
      <c r="A17" s="3" t="str">
        <f>Race_Schedule!A16</f>
        <v>Freedom 250 Grand Prix of Washington D.C.</v>
      </c>
      <c r="B17" s="4" t="s">
        <v>11</v>
      </c>
      <c r="C17" s="6" t="s">
        <v>43</v>
      </c>
      <c r="D17" s="5" t="str">
        <f t="shared" si="1"/>
        <v>72°F, 56% Rain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6.5" customHeight="1">
      <c r="A18" s="5" t="str">
        <f>Race_Schedule!A17</f>
        <v>Snap-on Makers and Fixers 250 (Milwaukee 1)</v>
      </c>
      <c r="B18" s="4" t="s">
        <v>25</v>
      </c>
      <c r="C18" s="6" t="s">
        <v>44</v>
      </c>
      <c r="D18" s="5" t="str">
        <f t="shared" si="1"/>
        <v>41°F, 0% Rain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6.5" customHeight="1">
      <c r="A19" s="3" t="str">
        <f>Race_Schedule!A18</f>
        <v>Snap-on Milwaukee Mile 250 (Milwaukee 2)</v>
      </c>
      <c r="B19" s="4" t="s">
        <v>25</v>
      </c>
      <c r="C19" s="6" t="s">
        <v>44</v>
      </c>
      <c r="D19" s="5" t="str">
        <f t="shared" si="1"/>
        <v>41°F, 0% Rain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6.5" customHeight="1">
      <c r="A20" s="5" t="str">
        <f>Race_Schedule!A19</f>
        <v>IndyCar Grand Prix of Monterey (Laguna Seca)</v>
      </c>
      <c r="B20" s="4" t="s">
        <v>32</v>
      </c>
      <c r="C20" s="6" t="s">
        <v>45</v>
      </c>
      <c r="D20" s="5" t="str">
        <f t="shared" si="1"/>
        <v>61°F, 68% Rain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6.5" customHeight="1">
      <c r="A21" s="3" t="str">
        <f>Race_Schedule!A20</f>
        <v/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6.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6.5" customHeight="1">
      <c r="A23" s="3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6.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6.5" customHeight="1">
      <c r="A25" s="3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6.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6.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6.5" customHeight="1">
      <c r="A28" s="5"/>
      <c r="B28" s="5"/>
      <c r="C28" s="4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6.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6.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6.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</sheetData>
  <dataValidations>
    <dataValidation type="list" allowBlank="1" showErrorMessage="1" sqref="E2:J21">
      <formula1>Driver_Stats!$A$2:$A$26</formula1>
    </dataValidation>
    <dataValidation type="list" allowBlank="1" showErrorMessage="1" sqref="B2:B20">
      <formula1>"Street Course,Road Course,Oval"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23.25"/>
    <col customWidth="1" min="3" max="3" width="27.13"/>
    <col customWidth="1" min="4" max="4" width="9.75"/>
    <col customWidth="1" min="5" max="5" width="10.25"/>
    <col customWidth="1" min="6" max="6" width="10.75"/>
    <col customWidth="1" min="7" max="7" width="13.25"/>
  </cols>
  <sheetData>
    <row r="1">
      <c r="A1" s="7" t="s">
        <v>46</v>
      </c>
      <c r="B1" s="7" t="s">
        <v>47</v>
      </c>
      <c r="C1" s="7" t="s">
        <v>48</v>
      </c>
      <c r="D1" s="7" t="s">
        <v>49</v>
      </c>
      <c r="E1" s="7" t="s">
        <v>50</v>
      </c>
      <c r="F1" s="7" t="s">
        <v>51</v>
      </c>
      <c r="G1" s="7" t="s">
        <v>52</v>
      </c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6" t="s">
        <v>19</v>
      </c>
      <c r="B2" s="6">
        <v>1.0</v>
      </c>
      <c r="G2" s="9">
        <f t="shared" ref="G2:G120" si="1">B2 - C2</f>
        <v>1</v>
      </c>
    </row>
    <row r="3">
      <c r="A3" s="6" t="s">
        <v>28</v>
      </c>
      <c r="B3" s="6">
        <v>3.0</v>
      </c>
      <c r="G3" s="9">
        <f t="shared" si="1"/>
        <v>3</v>
      </c>
    </row>
    <row r="4">
      <c r="A4" s="6" t="s">
        <v>53</v>
      </c>
      <c r="B4" s="6">
        <v>4.0</v>
      </c>
      <c r="G4" s="9">
        <f t="shared" si="1"/>
        <v>4</v>
      </c>
    </row>
    <row r="5">
      <c r="A5" s="6" t="s">
        <v>54</v>
      </c>
      <c r="B5" s="6">
        <v>3.0</v>
      </c>
      <c r="G5" s="9">
        <f t="shared" si="1"/>
        <v>3</v>
      </c>
    </row>
    <row r="6">
      <c r="A6" s="6" t="s">
        <v>13</v>
      </c>
      <c r="B6" s="6">
        <v>3.0</v>
      </c>
      <c r="G6" s="9">
        <f t="shared" si="1"/>
        <v>3</v>
      </c>
    </row>
    <row r="7">
      <c r="A7" s="6" t="s">
        <v>20</v>
      </c>
      <c r="B7" s="6">
        <v>2.0</v>
      </c>
      <c r="G7" s="9">
        <f t="shared" si="1"/>
        <v>2</v>
      </c>
    </row>
    <row r="8">
      <c r="A8" s="6" t="s">
        <v>55</v>
      </c>
      <c r="B8" s="6">
        <v>3.0</v>
      </c>
      <c r="G8" s="9">
        <f t="shared" si="1"/>
        <v>3</v>
      </c>
    </row>
    <row r="9">
      <c r="A9" s="6" t="s">
        <v>12</v>
      </c>
      <c r="B9" s="6">
        <v>1.0</v>
      </c>
      <c r="G9" s="9">
        <f t="shared" si="1"/>
        <v>1</v>
      </c>
    </row>
    <row r="10">
      <c r="A10" s="6" t="s">
        <v>27</v>
      </c>
      <c r="B10" s="6">
        <v>1.0</v>
      </c>
      <c r="G10" s="9">
        <f t="shared" si="1"/>
        <v>1</v>
      </c>
    </row>
    <row r="11">
      <c r="A11" s="6" t="s">
        <v>56</v>
      </c>
      <c r="B11" s="6">
        <v>1.0</v>
      </c>
      <c r="G11" s="9">
        <f t="shared" si="1"/>
        <v>1</v>
      </c>
    </row>
    <row r="12">
      <c r="A12" s="6" t="s">
        <v>57</v>
      </c>
      <c r="B12" s="6">
        <v>2.0</v>
      </c>
      <c r="G12" s="9">
        <f t="shared" si="1"/>
        <v>2</v>
      </c>
    </row>
    <row r="13">
      <c r="A13" s="6" t="s">
        <v>58</v>
      </c>
      <c r="B13" s="6">
        <v>5.0</v>
      </c>
      <c r="G13" s="9">
        <f t="shared" si="1"/>
        <v>5</v>
      </c>
    </row>
    <row r="14">
      <c r="A14" s="6" t="s">
        <v>29</v>
      </c>
      <c r="B14" s="6">
        <v>2.0</v>
      </c>
      <c r="G14" s="9">
        <f t="shared" si="1"/>
        <v>2</v>
      </c>
    </row>
    <row r="15">
      <c r="A15" s="6" t="s">
        <v>14</v>
      </c>
      <c r="B15" s="6">
        <v>2.0</v>
      </c>
      <c r="G15" s="9">
        <f t="shared" si="1"/>
        <v>2</v>
      </c>
    </row>
    <row r="16">
      <c r="A16" s="6" t="s">
        <v>23</v>
      </c>
      <c r="B16" s="6">
        <v>5.0</v>
      </c>
      <c r="G16" s="9">
        <f t="shared" si="1"/>
        <v>5</v>
      </c>
    </row>
    <row r="17">
      <c r="A17" s="6" t="s">
        <v>16</v>
      </c>
      <c r="B17" s="6">
        <v>3.0</v>
      </c>
      <c r="G17" s="9">
        <f t="shared" si="1"/>
        <v>3</v>
      </c>
    </row>
    <row r="18">
      <c r="A18" s="6" t="s">
        <v>24</v>
      </c>
      <c r="B18" s="6">
        <v>6.0</v>
      </c>
      <c r="G18" s="9">
        <f t="shared" si="1"/>
        <v>6</v>
      </c>
    </row>
    <row r="19">
      <c r="A19" s="6" t="s">
        <v>15</v>
      </c>
      <c r="B19" s="6">
        <v>4.0</v>
      </c>
      <c r="G19" s="9">
        <f t="shared" si="1"/>
        <v>4</v>
      </c>
    </row>
    <row r="20">
      <c r="A20" s="6" t="s">
        <v>30</v>
      </c>
      <c r="B20" s="6">
        <v>6.0</v>
      </c>
      <c r="G20" s="9">
        <f t="shared" si="1"/>
        <v>6</v>
      </c>
    </row>
    <row r="21">
      <c r="A21" s="6" t="s">
        <v>59</v>
      </c>
      <c r="B21" s="6">
        <v>4.0</v>
      </c>
      <c r="G21" s="9">
        <f t="shared" si="1"/>
        <v>4</v>
      </c>
    </row>
    <row r="22">
      <c r="A22" s="6" t="s">
        <v>60</v>
      </c>
      <c r="B22" s="6">
        <v>4.0</v>
      </c>
      <c r="G22" s="9">
        <f t="shared" si="1"/>
        <v>4</v>
      </c>
    </row>
    <row r="23">
      <c r="A23" s="6" t="s">
        <v>61</v>
      </c>
      <c r="B23" s="6">
        <v>5.0</v>
      </c>
      <c r="G23" s="9">
        <f t="shared" si="1"/>
        <v>5</v>
      </c>
    </row>
    <row r="24">
      <c r="A24" s="6" t="s">
        <v>17</v>
      </c>
      <c r="B24" s="6">
        <v>6.0</v>
      </c>
      <c r="G24" s="9">
        <f t="shared" si="1"/>
        <v>6</v>
      </c>
    </row>
    <row r="25">
      <c r="A25" s="6" t="s">
        <v>21</v>
      </c>
      <c r="B25" s="6">
        <v>3.0</v>
      </c>
      <c r="G25" s="9">
        <f t="shared" si="1"/>
        <v>3</v>
      </c>
    </row>
    <row r="26">
      <c r="A26" s="6" t="s">
        <v>22</v>
      </c>
      <c r="B26" s="6">
        <v>4.0</v>
      </c>
      <c r="G26" s="9">
        <f t="shared" si="1"/>
        <v>4</v>
      </c>
    </row>
    <row r="27">
      <c r="G27" s="9">
        <f t="shared" si="1"/>
        <v>0</v>
      </c>
    </row>
    <row r="28">
      <c r="G28" s="9">
        <f t="shared" si="1"/>
        <v>0</v>
      </c>
    </row>
    <row r="29">
      <c r="G29" s="9">
        <f t="shared" si="1"/>
        <v>0</v>
      </c>
    </row>
    <row r="30">
      <c r="G30" s="9">
        <f t="shared" si="1"/>
        <v>0</v>
      </c>
    </row>
    <row r="31">
      <c r="G31" s="9">
        <f t="shared" si="1"/>
        <v>0</v>
      </c>
    </row>
    <row r="32">
      <c r="G32" s="9">
        <f t="shared" si="1"/>
        <v>0</v>
      </c>
    </row>
    <row r="33">
      <c r="G33" s="9">
        <f t="shared" si="1"/>
        <v>0</v>
      </c>
    </row>
    <row r="34">
      <c r="G34" s="9">
        <f t="shared" si="1"/>
        <v>0</v>
      </c>
    </row>
    <row r="35">
      <c r="G35" s="9">
        <f t="shared" si="1"/>
        <v>0</v>
      </c>
    </row>
    <row r="36">
      <c r="G36" s="9">
        <f t="shared" si="1"/>
        <v>0</v>
      </c>
    </row>
    <row r="37">
      <c r="G37" s="9">
        <f t="shared" si="1"/>
        <v>0</v>
      </c>
    </row>
    <row r="38">
      <c r="G38" s="9">
        <f t="shared" si="1"/>
        <v>0</v>
      </c>
    </row>
    <row r="39">
      <c r="G39" s="9">
        <f t="shared" si="1"/>
        <v>0</v>
      </c>
    </row>
    <row r="40">
      <c r="G40" s="9">
        <f t="shared" si="1"/>
        <v>0</v>
      </c>
    </row>
    <row r="41">
      <c r="G41" s="9">
        <f t="shared" si="1"/>
        <v>0</v>
      </c>
    </row>
    <row r="42">
      <c r="G42" s="9">
        <f t="shared" si="1"/>
        <v>0</v>
      </c>
    </row>
    <row r="43">
      <c r="G43" s="9">
        <f t="shared" si="1"/>
        <v>0</v>
      </c>
    </row>
    <row r="44">
      <c r="G44" s="9">
        <f t="shared" si="1"/>
        <v>0</v>
      </c>
    </row>
    <row r="45">
      <c r="G45" s="9">
        <f t="shared" si="1"/>
        <v>0</v>
      </c>
    </row>
    <row r="46">
      <c r="G46" s="9">
        <f t="shared" si="1"/>
        <v>0</v>
      </c>
    </row>
    <row r="47">
      <c r="G47" s="9">
        <f t="shared" si="1"/>
        <v>0</v>
      </c>
    </row>
    <row r="48">
      <c r="G48" s="9">
        <f t="shared" si="1"/>
        <v>0</v>
      </c>
    </row>
    <row r="49">
      <c r="G49" s="9">
        <f t="shared" si="1"/>
        <v>0</v>
      </c>
    </row>
    <row r="50">
      <c r="G50" s="9">
        <f t="shared" si="1"/>
        <v>0</v>
      </c>
    </row>
    <row r="51">
      <c r="G51" s="9">
        <f t="shared" si="1"/>
        <v>0</v>
      </c>
    </row>
    <row r="52">
      <c r="G52" s="9">
        <f t="shared" si="1"/>
        <v>0</v>
      </c>
    </row>
    <row r="53">
      <c r="G53" s="9">
        <f t="shared" si="1"/>
        <v>0</v>
      </c>
    </row>
    <row r="54">
      <c r="G54" s="9">
        <f t="shared" si="1"/>
        <v>0</v>
      </c>
    </row>
    <row r="55">
      <c r="G55" s="9">
        <f t="shared" si="1"/>
        <v>0</v>
      </c>
    </row>
    <row r="56">
      <c r="G56" s="9">
        <f t="shared" si="1"/>
        <v>0</v>
      </c>
    </row>
    <row r="57">
      <c r="G57" s="9">
        <f t="shared" si="1"/>
        <v>0</v>
      </c>
    </row>
    <row r="58">
      <c r="G58" s="9">
        <f t="shared" si="1"/>
        <v>0</v>
      </c>
    </row>
    <row r="59">
      <c r="G59" s="9">
        <f t="shared" si="1"/>
        <v>0</v>
      </c>
    </row>
    <row r="60">
      <c r="G60" s="9">
        <f t="shared" si="1"/>
        <v>0</v>
      </c>
    </row>
    <row r="61">
      <c r="G61" s="9">
        <f t="shared" si="1"/>
        <v>0</v>
      </c>
    </row>
    <row r="62">
      <c r="G62" s="9">
        <f t="shared" si="1"/>
        <v>0</v>
      </c>
    </row>
    <row r="63">
      <c r="G63" s="9">
        <f t="shared" si="1"/>
        <v>0</v>
      </c>
    </row>
    <row r="64">
      <c r="G64" s="9">
        <f t="shared" si="1"/>
        <v>0</v>
      </c>
    </row>
    <row r="65">
      <c r="G65" s="9">
        <f t="shared" si="1"/>
        <v>0</v>
      </c>
    </row>
    <row r="66">
      <c r="G66" s="9">
        <f t="shared" si="1"/>
        <v>0</v>
      </c>
    </row>
    <row r="67">
      <c r="G67" s="9">
        <f t="shared" si="1"/>
        <v>0</v>
      </c>
    </row>
    <row r="68">
      <c r="G68" s="9">
        <f t="shared" si="1"/>
        <v>0</v>
      </c>
    </row>
    <row r="69">
      <c r="G69" s="9">
        <f t="shared" si="1"/>
        <v>0</v>
      </c>
    </row>
    <row r="70">
      <c r="G70" s="9">
        <f t="shared" si="1"/>
        <v>0</v>
      </c>
    </row>
    <row r="71">
      <c r="G71" s="9">
        <f t="shared" si="1"/>
        <v>0</v>
      </c>
    </row>
    <row r="72">
      <c r="G72" s="9">
        <f t="shared" si="1"/>
        <v>0</v>
      </c>
    </row>
    <row r="73">
      <c r="G73" s="9">
        <f t="shared" si="1"/>
        <v>0</v>
      </c>
    </row>
    <row r="74">
      <c r="G74" s="9">
        <f t="shared" si="1"/>
        <v>0</v>
      </c>
    </row>
    <row r="75">
      <c r="G75" s="9">
        <f t="shared" si="1"/>
        <v>0</v>
      </c>
    </row>
    <row r="76">
      <c r="G76" s="9">
        <f t="shared" si="1"/>
        <v>0</v>
      </c>
    </row>
    <row r="77">
      <c r="G77" s="9">
        <f t="shared" si="1"/>
        <v>0</v>
      </c>
    </row>
    <row r="78">
      <c r="G78" s="9">
        <f t="shared" si="1"/>
        <v>0</v>
      </c>
    </row>
    <row r="79">
      <c r="G79" s="9">
        <f t="shared" si="1"/>
        <v>0</v>
      </c>
    </row>
    <row r="80">
      <c r="G80" s="9">
        <f t="shared" si="1"/>
        <v>0</v>
      </c>
    </row>
    <row r="81">
      <c r="G81" s="9">
        <f t="shared" si="1"/>
        <v>0</v>
      </c>
    </row>
    <row r="82">
      <c r="G82" s="9">
        <f t="shared" si="1"/>
        <v>0</v>
      </c>
    </row>
    <row r="83">
      <c r="G83" s="9">
        <f t="shared" si="1"/>
        <v>0</v>
      </c>
    </row>
    <row r="84">
      <c r="G84" s="9">
        <f t="shared" si="1"/>
        <v>0</v>
      </c>
    </row>
    <row r="85">
      <c r="G85" s="9">
        <f t="shared" si="1"/>
        <v>0</v>
      </c>
    </row>
    <row r="86">
      <c r="G86" s="9">
        <f t="shared" si="1"/>
        <v>0</v>
      </c>
    </row>
    <row r="87">
      <c r="G87" s="9">
        <f t="shared" si="1"/>
        <v>0</v>
      </c>
    </row>
    <row r="88">
      <c r="G88" s="9">
        <f t="shared" si="1"/>
        <v>0</v>
      </c>
    </row>
    <row r="89">
      <c r="G89" s="9">
        <f t="shared" si="1"/>
        <v>0</v>
      </c>
    </row>
    <row r="90">
      <c r="G90" s="9">
        <f t="shared" si="1"/>
        <v>0</v>
      </c>
    </row>
    <row r="91">
      <c r="G91" s="9">
        <f t="shared" si="1"/>
        <v>0</v>
      </c>
    </row>
    <row r="92">
      <c r="G92" s="9">
        <f t="shared" si="1"/>
        <v>0</v>
      </c>
    </row>
    <row r="93">
      <c r="G93" s="9">
        <f t="shared" si="1"/>
        <v>0</v>
      </c>
    </row>
    <row r="94">
      <c r="G94" s="9">
        <f t="shared" si="1"/>
        <v>0</v>
      </c>
    </row>
    <row r="95">
      <c r="G95" s="9">
        <f t="shared" si="1"/>
        <v>0</v>
      </c>
    </row>
    <row r="96">
      <c r="G96" s="9">
        <f t="shared" si="1"/>
        <v>0</v>
      </c>
    </row>
    <row r="97">
      <c r="G97" s="9">
        <f t="shared" si="1"/>
        <v>0</v>
      </c>
    </row>
    <row r="98">
      <c r="G98" s="9">
        <f t="shared" si="1"/>
        <v>0</v>
      </c>
    </row>
    <row r="99">
      <c r="G99" s="9">
        <f t="shared" si="1"/>
        <v>0</v>
      </c>
    </row>
    <row r="100">
      <c r="G100" s="9">
        <f t="shared" si="1"/>
        <v>0</v>
      </c>
    </row>
    <row r="101">
      <c r="G101" s="9">
        <f t="shared" si="1"/>
        <v>0</v>
      </c>
    </row>
    <row r="102">
      <c r="G102" s="9">
        <f t="shared" si="1"/>
        <v>0</v>
      </c>
    </row>
    <row r="103">
      <c r="G103" s="9">
        <f t="shared" si="1"/>
        <v>0</v>
      </c>
    </row>
    <row r="104">
      <c r="G104" s="9">
        <f t="shared" si="1"/>
        <v>0</v>
      </c>
    </row>
    <row r="105">
      <c r="G105" s="9">
        <f t="shared" si="1"/>
        <v>0</v>
      </c>
    </row>
    <row r="106">
      <c r="G106" s="9">
        <f t="shared" si="1"/>
        <v>0</v>
      </c>
    </row>
    <row r="107">
      <c r="G107" s="9">
        <f t="shared" si="1"/>
        <v>0</v>
      </c>
    </row>
    <row r="108">
      <c r="G108" s="9">
        <f t="shared" si="1"/>
        <v>0</v>
      </c>
    </row>
    <row r="109">
      <c r="G109" s="9">
        <f t="shared" si="1"/>
        <v>0</v>
      </c>
    </row>
    <row r="110">
      <c r="G110" s="9">
        <f t="shared" si="1"/>
        <v>0</v>
      </c>
    </row>
    <row r="111">
      <c r="G111" s="9">
        <f t="shared" si="1"/>
        <v>0</v>
      </c>
    </row>
    <row r="112">
      <c r="G112" s="9">
        <f t="shared" si="1"/>
        <v>0</v>
      </c>
    </row>
    <row r="113">
      <c r="G113" s="9">
        <f t="shared" si="1"/>
        <v>0</v>
      </c>
    </row>
    <row r="114">
      <c r="G114" s="9">
        <f t="shared" si="1"/>
        <v>0</v>
      </c>
    </row>
    <row r="115">
      <c r="G115" s="9">
        <f t="shared" si="1"/>
        <v>0</v>
      </c>
    </row>
    <row r="116">
      <c r="G116" s="9">
        <f t="shared" si="1"/>
        <v>0</v>
      </c>
    </row>
    <row r="117">
      <c r="G117" s="9">
        <f t="shared" si="1"/>
        <v>0</v>
      </c>
    </row>
    <row r="118">
      <c r="G118" s="9">
        <f t="shared" si="1"/>
        <v>0</v>
      </c>
    </row>
    <row r="119">
      <c r="G119" s="9">
        <f t="shared" si="1"/>
        <v>0</v>
      </c>
    </row>
    <row r="120">
      <c r="G120" s="9">
        <f t="shared" si="1"/>
        <v>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88"/>
    <col customWidth="1" min="2" max="2" width="17.5"/>
    <col customWidth="1" min="3" max="3" width="26.63"/>
    <col customWidth="1" min="4" max="4" width="23.0"/>
  </cols>
  <sheetData>
    <row r="1">
      <c r="A1" s="6" t="s">
        <v>0</v>
      </c>
      <c r="B1" s="6" t="s">
        <v>62</v>
      </c>
      <c r="C1" s="6" t="s">
        <v>2</v>
      </c>
      <c r="D1" s="6" t="s">
        <v>63</v>
      </c>
    </row>
    <row r="2">
      <c r="A2" s="6" t="s">
        <v>64</v>
      </c>
      <c r="B2" s="10">
        <v>46082.0</v>
      </c>
      <c r="C2" s="6" t="s">
        <v>65</v>
      </c>
      <c r="D2" s="6" t="s">
        <v>66</v>
      </c>
    </row>
    <row r="3">
      <c r="A3" s="6" t="s">
        <v>67</v>
      </c>
      <c r="B3" s="10">
        <v>46088.0</v>
      </c>
      <c r="C3" s="6" t="s">
        <v>68</v>
      </c>
      <c r="D3" s="6" t="s">
        <v>25</v>
      </c>
    </row>
    <row r="4">
      <c r="A4" s="6" t="s">
        <v>69</v>
      </c>
      <c r="B4" s="10">
        <v>46096.0</v>
      </c>
      <c r="C4" s="6" t="s">
        <v>70</v>
      </c>
      <c r="D4" s="6" t="s">
        <v>66</v>
      </c>
    </row>
    <row r="5">
      <c r="A5" s="6" t="s">
        <v>71</v>
      </c>
      <c r="B5" s="10">
        <v>46110.0</v>
      </c>
      <c r="C5" s="6" t="s">
        <v>72</v>
      </c>
      <c r="D5" s="6" t="s">
        <v>73</v>
      </c>
    </row>
    <row r="6">
      <c r="A6" s="6" t="s">
        <v>74</v>
      </c>
      <c r="B6" s="10">
        <v>46131.0</v>
      </c>
      <c r="C6" s="6" t="s">
        <v>75</v>
      </c>
      <c r="D6" s="6" t="s">
        <v>66</v>
      </c>
    </row>
    <row r="7">
      <c r="A7" s="6" t="s">
        <v>76</v>
      </c>
      <c r="B7" s="10">
        <v>46151.0</v>
      </c>
      <c r="C7" s="6" t="s">
        <v>77</v>
      </c>
      <c r="D7" s="6" t="s">
        <v>73</v>
      </c>
    </row>
    <row r="8">
      <c r="A8" s="6" t="s">
        <v>78</v>
      </c>
      <c r="B8" s="10">
        <v>46166.0</v>
      </c>
      <c r="C8" s="6" t="s">
        <v>77</v>
      </c>
      <c r="D8" s="6" t="s">
        <v>25</v>
      </c>
    </row>
    <row r="9">
      <c r="A9" s="6" t="s">
        <v>79</v>
      </c>
      <c r="B9" s="10">
        <v>46173.0</v>
      </c>
      <c r="C9" s="6" t="s">
        <v>80</v>
      </c>
      <c r="D9" s="6" t="s">
        <v>66</v>
      </c>
    </row>
    <row r="10">
      <c r="A10" s="6" t="s">
        <v>81</v>
      </c>
      <c r="B10" s="10">
        <v>46180.0</v>
      </c>
      <c r="C10" s="6" t="s">
        <v>82</v>
      </c>
      <c r="D10" s="6" t="s">
        <v>25</v>
      </c>
    </row>
    <row r="11">
      <c r="A11" s="6" t="s">
        <v>83</v>
      </c>
      <c r="B11" s="10">
        <v>46194.0</v>
      </c>
      <c r="C11" s="6" t="s">
        <v>84</v>
      </c>
      <c r="D11" s="6" t="s">
        <v>73</v>
      </c>
    </row>
    <row r="12">
      <c r="A12" s="6" t="s">
        <v>85</v>
      </c>
      <c r="B12" s="10">
        <v>46208.0</v>
      </c>
      <c r="C12" s="6" t="s">
        <v>86</v>
      </c>
      <c r="D12" s="6" t="s">
        <v>73</v>
      </c>
    </row>
    <row r="13">
      <c r="A13" s="6" t="s">
        <v>87</v>
      </c>
      <c r="B13" s="10">
        <v>46222.0</v>
      </c>
      <c r="C13" s="6" t="s">
        <v>88</v>
      </c>
      <c r="D13" s="6" t="s">
        <v>25</v>
      </c>
    </row>
    <row r="14">
      <c r="A14" s="6" t="s">
        <v>89</v>
      </c>
      <c r="B14" s="10">
        <v>46243.0</v>
      </c>
      <c r="C14" s="6" t="s">
        <v>90</v>
      </c>
      <c r="D14" s="6" t="s">
        <v>73</v>
      </c>
    </row>
    <row r="15">
      <c r="A15" s="6" t="s">
        <v>91</v>
      </c>
      <c r="B15" s="10">
        <v>46250.0</v>
      </c>
      <c r="C15" s="6" t="s">
        <v>92</v>
      </c>
      <c r="D15" s="6" t="s">
        <v>66</v>
      </c>
    </row>
    <row r="16">
      <c r="A16" s="6" t="s">
        <v>93</v>
      </c>
      <c r="B16" s="10">
        <v>46257.0</v>
      </c>
      <c r="C16" s="6" t="s">
        <v>94</v>
      </c>
      <c r="D16" s="6" t="s">
        <v>66</v>
      </c>
    </row>
    <row r="17">
      <c r="A17" s="6" t="s">
        <v>95</v>
      </c>
      <c r="B17" s="10">
        <v>46263.0</v>
      </c>
      <c r="C17" s="6" t="s">
        <v>96</v>
      </c>
      <c r="D17" s="6" t="s">
        <v>25</v>
      </c>
    </row>
    <row r="18">
      <c r="A18" s="6" t="s">
        <v>97</v>
      </c>
      <c r="B18" s="10">
        <v>46264.0</v>
      </c>
      <c r="C18" s="6" t="s">
        <v>96</v>
      </c>
      <c r="D18" s="6" t="s">
        <v>25</v>
      </c>
    </row>
    <row r="19">
      <c r="A19" s="6" t="s">
        <v>98</v>
      </c>
      <c r="B19" s="10">
        <v>46271.0</v>
      </c>
      <c r="C19" s="6" t="s">
        <v>99</v>
      </c>
      <c r="D19" s="6" t="s">
        <v>73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63"/>
  </cols>
  <sheetData>
    <row r="1">
      <c r="A1" s="7" t="s">
        <v>46</v>
      </c>
      <c r="B1" s="7" t="s">
        <v>100</v>
      </c>
      <c r="C1" s="7" t="s">
        <v>101</v>
      </c>
      <c r="D1" s="7" t="s">
        <v>102</v>
      </c>
      <c r="E1" s="7" t="s">
        <v>103</v>
      </c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6" t="s">
        <v>19</v>
      </c>
      <c r="B2" s="6" t="s">
        <v>104</v>
      </c>
      <c r="C2" s="6">
        <v>10.0</v>
      </c>
      <c r="D2" s="6" t="s">
        <v>105</v>
      </c>
      <c r="E2" s="6" t="s">
        <v>106</v>
      </c>
    </row>
    <row r="3">
      <c r="A3" s="6" t="s">
        <v>28</v>
      </c>
      <c r="B3" s="6" t="s">
        <v>104</v>
      </c>
      <c r="C3" s="6">
        <v>9.0</v>
      </c>
      <c r="D3" s="6" t="s">
        <v>105</v>
      </c>
      <c r="E3" s="6" t="s">
        <v>106</v>
      </c>
    </row>
    <row r="4">
      <c r="A4" s="6" t="s">
        <v>53</v>
      </c>
      <c r="B4" s="6" t="s">
        <v>104</v>
      </c>
      <c r="C4" s="6">
        <v>8.0</v>
      </c>
      <c r="D4" s="6" t="s">
        <v>105</v>
      </c>
      <c r="E4" s="6" t="s">
        <v>106</v>
      </c>
    </row>
    <row r="5">
      <c r="A5" s="6" t="s">
        <v>54</v>
      </c>
      <c r="B5" s="6" t="s">
        <v>107</v>
      </c>
      <c r="C5" s="6">
        <v>26.0</v>
      </c>
      <c r="D5" s="6" t="s">
        <v>105</v>
      </c>
      <c r="E5" s="6" t="s">
        <v>106</v>
      </c>
    </row>
    <row r="6">
      <c r="A6" s="6" t="s">
        <v>13</v>
      </c>
      <c r="B6" s="6" t="s">
        <v>107</v>
      </c>
      <c r="C6" s="6">
        <v>27.0</v>
      </c>
      <c r="D6" s="6" t="s">
        <v>105</v>
      </c>
      <c r="E6" s="6" t="s">
        <v>106</v>
      </c>
    </row>
    <row r="7">
      <c r="A7" s="6" t="s">
        <v>20</v>
      </c>
      <c r="B7" s="6" t="s">
        <v>107</v>
      </c>
      <c r="C7" s="6">
        <v>28.0</v>
      </c>
      <c r="D7" s="6" t="s">
        <v>105</v>
      </c>
      <c r="E7" s="6" t="s">
        <v>106</v>
      </c>
    </row>
    <row r="8">
      <c r="A8" s="6" t="s">
        <v>55</v>
      </c>
      <c r="B8" s="6" t="s">
        <v>108</v>
      </c>
      <c r="C8" s="6">
        <v>2.0</v>
      </c>
      <c r="D8" s="6" t="s">
        <v>109</v>
      </c>
      <c r="E8" s="6" t="s">
        <v>106</v>
      </c>
    </row>
    <row r="9">
      <c r="A9" s="6" t="s">
        <v>12</v>
      </c>
      <c r="B9" s="6" t="s">
        <v>108</v>
      </c>
      <c r="C9" s="6">
        <v>3.0</v>
      </c>
      <c r="D9" s="6" t="s">
        <v>109</v>
      </c>
      <c r="E9" s="6" t="s">
        <v>106</v>
      </c>
    </row>
    <row r="10">
      <c r="A10" s="6" t="s">
        <v>27</v>
      </c>
      <c r="B10" s="6" t="s">
        <v>108</v>
      </c>
      <c r="C10" s="6">
        <v>12.0</v>
      </c>
      <c r="D10" s="6" t="s">
        <v>109</v>
      </c>
      <c r="E10" s="6" t="s">
        <v>106</v>
      </c>
    </row>
    <row r="11">
      <c r="A11" s="6" t="s">
        <v>56</v>
      </c>
      <c r="B11" s="6" t="s">
        <v>110</v>
      </c>
      <c r="C11" s="6">
        <v>5.0</v>
      </c>
      <c r="D11" s="6" t="s">
        <v>109</v>
      </c>
      <c r="E11" s="6" t="s">
        <v>106</v>
      </c>
    </row>
    <row r="12">
      <c r="A12" s="6" t="s">
        <v>57</v>
      </c>
      <c r="B12" s="6" t="s">
        <v>110</v>
      </c>
      <c r="C12" s="6">
        <v>7.0</v>
      </c>
      <c r="D12" s="6" t="s">
        <v>109</v>
      </c>
      <c r="E12" s="6" t="s">
        <v>106</v>
      </c>
    </row>
    <row r="13">
      <c r="A13" s="6" t="s">
        <v>58</v>
      </c>
      <c r="B13" s="6" t="s">
        <v>110</v>
      </c>
      <c r="C13" s="6">
        <v>6.0</v>
      </c>
      <c r="D13" s="6" t="s">
        <v>109</v>
      </c>
      <c r="E13" s="6" t="s">
        <v>106</v>
      </c>
    </row>
    <row r="14">
      <c r="A14" s="6" t="s">
        <v>29</v>
      </c>
      <c r="B14" s="6" t="s">
        <v>111</v>
      </c>
      <c r="C14" s="6">
        <v>60.0</v>
      </c>
      <c r="D14" s="6" t="s">
        <v>105</v>
      </c>
      <c r="E14" s="6" t="s">
        <v>106</v>
      </c>
    </row>
    <row r="15">
      <c r="A15" s="6" t="s">
        <v>14</v>
      </c>
      <c r="B15" s="6" t="s">
        <v>111</v>
      </c>
      <c r="C15" s="6">
        <v>66.0</v>
      </c>
      <c r="D15" s="6" t="s">
        <v>105</v>
      </c>
      <c r="E15" s="6" t="s">
        <v>106</v>
      </c>
    </row>
    <row r="16">
      <c r="A16" s="6" t="s">
        <v>23</v>
      </c>
      <c r="B16" s="6" t="s">
        <v>112</v>
      </c>
      <c r="C16" s="6">
        <v>15.0</v>
      </c>
      <c r="D16" s="6" t="s">
        <v>105</v>
      </c>
      <c r="E16" s="6" t="s">
        <v>106</v>
      </c>
    </row>
    <row r="17">
      <c r="A17" s="6" t="s">
        <v>16</v>
      </c>
      <c r="B17" s="6" t="s">
        <v>112</v>
      </c>
      <c r="C17" s="6">
        <v>45.0</v>
      </c>
      <c r="D17" s="6" t="s">
        <v>105</v>
      </c>
      <c r="E17" s="6" t="s">
        <v>106</v>
      </c>
    </row>
    <row r="18">
      <c r="A18" s="6" t="s">
        <v>24</v>
      </c>
      <c r="B18" s="6" t="s">
        <v>112</v>
      </c>
      <c r="C18" s="6">
        <v>47.0</v>
      </c>
      <c r="D18" s="6" t="s">
        <v>105</v>
      </c>
      <c r="E18" s="6" t="s">
        <v>106</v>
      </c>
    </row>
    <row r="19">
      <c r="A19" s="6" t="s">
        <v>15</v>
      </c>
      <c r="B19" s="6" t="s">
        <v>113</v>
      </c>
      <c r="C19" s="6">
        <v>76.0</v>
      </c>
      <c r="D19" s="6" t="s">
        <v>109</v>
      </c>
      <c r="E19" s="6" t="s">
        <v>106</v>
      </c>
    </row>
    <row r="20">
      <c r="A20" s="6" t="s">
        <v>30</v>
      </c>
      <c r="B20" s="6" t="s">
        <v>113</v>
      </c>
      <c r="C20" s="6">
        <v>77.0</v>
      </c>
      <c r="D20" s="6" t="s">
        <v>109</v>
      </c>
      <c r="E20" s="6" t="s">
        <v>106</v>
      </c>
    </row>
    <row r="21">
      <c r="A21" s="6" t="s">
        <v>59</v>
      </c>
      <c r="B21" s="6" t="s">
        <v>114</v>
      </c>
      <c r="C21" s="6">
        <v>20.0</v>
      </c>
      <c r="D21" s="6" t="s">
        <v>109</v>
      </c>
      <c r="E21" s="6" t="s">
        <v>106</v>
      </c>
    </row>
    <row r="22">
      <c r="A22" s="6" t="s">
        <v>60</v>
      </c>
      <c r="B22" s="6" t="s">
        <v>114</v>
      </c>
      <c r="C22" s="6">
        <v>21.0</v>
      </c>
      <c r="D22" s="6" t="s">
        <v>109</v>
      </c>
      <c r="E22" s="6" t="s">
        <v>106</v>
      </c>
    </row>
    <row r="23">
      <c r="A23" s="6" t="s">
        <v>61</v>
      </c>
      <c r="B23" s="6" t="s">
        <v>115</v>
      </c>
      <c r="C23" s="6">
        <v>14.0</v>
      </c>
      <c r="D23" s="6" t="s">
        <v>109</v>
      </c>
      <c r="E23" s="6" t="s">
        <v>106</v>
      </c>
    </row>
    <row r="24">
      <c r="A24" s="6" t="s">
        <v>17</v>
      </c>
      <c r="B24" s="6" t="s">
        <v>115</v>
      </c>
      <c r="C24" s="6">
        <v>4.0</v>
      </c>
      <c r="D24" s="6" t="s">
        <v>109</v>
      </c>
      <c r="E24" s="6" t="s">
        <v>106</v>
      </c>
    </row>
    <row r="25">
      <c r="A25" s="6" t="s">
        <v>21</v>
      </c>
      <c r="B25" s="6" t="s">
        <v>116</v>
      </c>
      <c r="C25" s="6">
        <v>18.0</v>
      </c>
      <c r="D25" s="6" t="s">
        <v>105</v>
      </c>
      <c r="E25" s="6" t="s">
        <v>106</v>
      </c>
    </row>
    <row r="26">
      <c r="A26" s="6" t="s">
        <v>22</v>
      </c>
      <c r="B26" s="6" t="s">
        <v>116</v>
      </c>
      <c r="C26" s="6">
        <v>19.0</v>
      </c>
      <c r="D26" s="6" t="s">
        <v>105</v>
      </c>
      <c r="E26" s="6" t="s">
        <v>106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63"/>
  </cols>
  <sheetData>
    <row r="1">
      <c r="A1" s="11" t="s">
        <v>117</v>
      </c>
      <c r="B1" s="11" t="s">
        <v>118</v>
      </c>
      <c r="C1" s="11" t="s">
        <v>119</v>
      </c>
      <c r="D1" s="11" t="s">
        <v>120</v>
      </c>
      <c r="E1" s="11" t="s">
        <v>121</v>
      </c>
      <c r="F1" s="11" t="s">
        <v>122</v>
      </c>
      <c r="G1" s="11" t="s">
        <v>123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4" t="s">
        <v>124</v>
      </c>
      <c r="B2" s="4" t="str">
        <f>Race_Dashboard!E3</f>
        <v>Alex Palou</v>
      </c>
      <c r="C2" s="4">
        <f>Tier_History!C2</f>
        <v>1</v>
      </c>
      <c r="D2" s="4">
        <v>1.0</v>
      </c>
      <c r="E2" s="4">
        <f t="shared" ref="E2:E113" si="1">D2</f>
        <v>1</v>
      </c>
      <c r="F2" s="5">
        <f>SUM(E2:E7)</f>
        <v>68</v>
      </c>
      <c r="G2" s="5">
        <f>SUM(E2:E113)</f>
        <v>152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4"/>
      <c r="B3" s="4" t="str">
        <f>Race_Dashboard!F3</f>
        <v>Marcus Ericsson</v>
      </c>
      <c r="C3" s="4">
        <f>Tier_History!C3</f>
        <v>2</v>
      </c>
      <c r="D3" s="4">
        <v>6.0</v>
      </c>
      <c r="E3" s="4">
        <f t="shared" si="1"/>
        <v>6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4"/>
      <c r="B4" s="4" t="str">
        <f>Race_Dashboard!G3</f>
        <v>Romain Grosjean</v>
      </c>
      <c r="C4" s="4">
        <f>Tier_History!C4</f>
        <v>3</v>
      </c>
      <c r="D4" s="4">
        <v>8.0</v>
      </c>
      <c r="E4" s="4">
        <f t="shared" si="1"/>
        <v>8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4"/>
      <c r="B5" s="4" t="str">
        <f>Race_Dashboard!H3</f>
        <v>Dennis Hauger (R)</v>
      </c>
      <c r="C5" s="4">
        <f>Tier_History!C5</f>
        <v>4</v>
      </c>
      <c r="D5" s="4">
        <v>10.0</v>
      </c>
      <c r="E5" s="4">
        <f t="shared" si="1"/>
        <v>10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4"/>
      <c r="B6" s="4" t="str">
        <f>Race_Dashboard!I3</f>
        <v>Graham Rahal</v>
      </c>
      <c r="C6" s="4">
        <f>Tier_History!C6</f>
        <v>5</v>
      </c>
      <c r="D6" s="4">
        <v>18.0</v>
      </c>
      <c r="E6" s="4">
        <f t="shared" si="1"/>
        <v>18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4"/>
      <c r="B7" s="4" t="str">
        <f>Race_Dashboard!J3</f>
        <v>Mick Schumacher (R)</v>
      </c>
      <c r="C7" s="4">
        <f>Tier_History!C7</f>
        <v>6</v>
      </c>
      <c r="D7" s="4">
        <v>25.0</v>
      </c>
      <c r="E7" s="4">
        <f t="shared" si="1"/>
        <v>25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4" t="s">
        <v>125</v>
      </c>
      <c r="B8" s="4" t="s">
        <v>27</v>
      </c>
      <c r="C8" s="4">
        <v>1.0</v>
      </c>
      <c r="D8" s="4">
        <v>3.0</v>
      </c>
      <c r="E8" s="4">
        <f t="shared" si="1"/>
        <v>3</v>
      </c>
      <c r="F8" s="5">
        <f>SUM(E8:E13)</f>
        <v>84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4"/>
      <c r="B9" s="4" t="s">
        <v>28</v>
      </c>
      <c r="C9" s="4">
        <v>2.0</v>
      </c>
      <c r="D9" s="4">
        <v>7.0</v>
      </c>
      <c r="E9" s="4">
        <f t="shared" si="1"/>
        <v>7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4"/>
      <c r="B10" s="4" t="s">
        <v>24</v>
      </c>
      <c r="C10" s="4">
        <v>3.0</v>
      </c>
      <c r="D10" s="4">
        <v>18.0</v>
      </c>
      <c r="E10" s="4">
        <f t="shared" si="1"/>
        <v>18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4"/>
      <c r="B11" s="4" t="s">
        <v>29</v>
      </c>
      <c r="C11" s="4">
        <v>4.0</v>
      </c>
      <c r="D11" s="4">
        <v>12.0</v>
      </c>
      <c r="E11" s="4">
        <f t="shared" si="1"/>
        <v>12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4"/>
      <c r="B12" s="4" t="s">
        <v>16</v>
      </c>
      <c r="C12" s="4">
        <v>5.0</v>
      </c>
      <c r="D12" s="4">
        <v>23.0</v>
      </c>
      <c r="E12" s="4">
        <f t="shared" si="1"/>
        <v>23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4"/>
      <c r="B13" s="4" t="s">
        <v>30</v>
      </c>
      <c r="C13" s="4">
        <v>6.0</v>
      </c>
      <c r="D13" s="4">
        <v>21.0</v>
      </c>
      <c r="E13" s="4">
        <f t="shared" si="1"/>
        <v>21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4" t="s">
        <v>126</v>
      </c>
      <c r="B14" s="4"/>
      <c r="C14" s="4"/>
      <c r="D14" s="4"/>
      <c r="E14" s="4" t="str">
        <f t="shared" si="1"/>
        <v/>
      </c>
      <c r="F14" s="5">
        <f>SUM(E14:E19)</f>
        <v>0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4"/>
      <c r="B15" s="4"/>
      <c r="C15" s="4"/>
      <c r="D15" s="4"/>
      <c r="E15" s="4" t="str">
        <f t="shared" si="1"/>
        <v/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4"/>
      <c r="B16" s="4"/>
      <c r="C16" s="4"/>
      <c r="D16" s="4"/>
      <c r="E16" s="4" t="str">
        <f t="shared" si="1"/>
        <v/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4"/>
      <c r="B17" s="4"/>
      <c r="C17" s="4"/>
      <c r="D17" s="4"/>
      <c r="E17" s="4" t="str">
        <f t="shared" si="1"/>
        <v/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4"/>
      <c r="B18" s="4"/>
      <c r="C18" s="4"/>
      <c r="D18" s="4"/>
      <c r="E18" s="4" t="str">
        <f t="shared" si="1"/>
        <v/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4"/>
      <c r="B19" s="4"/>
      <c r="C19" s="4"/>
      <c r="D19" s="4"/>
      <c r="E19" s="4" t="str">
        <f t="shared" si="1"/>
        <v/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4" t="s">
        <v>127</v>
      </c>
      <c r="B20" s="4"/>
      <c r="C20" s="4"/>
      <c r="D20" s="4"/>
      <c r="E20" s="4" t="str">
        <f t="shared" si="1"/>
        <v/>
      </c>
      <c r="F20" s="5">
        <f>SUM(E20:E25)</f>
        <v>0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4"/>
      <c r="B21" s="4"/>
      <c r="C21" s="4"/>
      <c r="D21" s="4"/>
      <c r="E21" s="4" t="str">
        <f t="shared" si="1"/>
        <v/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4"/>
      <c r="B22" s="4"/>
      <c r="C22" s="4"/>
      <c r="D22" s="4"/>
      <c r="E22" s="4" t="str">
        <f t="shared" si="1"/>
        <v/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4"/>
      <c r="B23" s="4"/>
      <c r="C23" s="4"/>
      <c r="D23" s="4"/>
      <c r="E23" s="4" t="str">
        <f t="shared" si="1"/>
        <v/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4"/>
      <c r="B24" s="4"/>
      <c r="C24" s="4"/>
      <c r="D24" s="4"/>
      <c r="E24" s="4" t="str">
        <f t="shared" si="1"/>
        <v/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4"/>
      <c r="B25" s="4"/>
      <c r="C25" s="4"/>
      <c r="D25" s="4"/>
      <c r="E25" s="4" t="str">
        <f t="shared" si="1"/>
        <v/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4" t="s">
        <v>128</v>
      </c>
      <c r="B26" s="4"/>
      <c r="C26" s="4"/>
      <c r="D26" s="4"/>
      <c r="E26" s="4" t="str">
        <f t="shared" si="1"/>
        <v/>
      </c>
      <c r="F26" s="5">
        <f>SUM(E26:E31)</f>
        <v>0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4"/>
      <c r="B27" s="4"/>
      <c r="C27" s="4"/>
      <c r="D27" s="4"/>
      <c r="E27" s="4" t="str">
        <f t="shared" si="1"/>
        <v/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4"/>
      <c r="B28" s="4"/>
      <c r="C28" s="4"/>
      <c r="D28" s="4"/>
      <c r="E28" s="4" t="str">
        <f t="shared" si="1"/>
        <v/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4"/>
      <c r="B29" s="4"/>
      <c r="C29" s="4"/>
      <c r="D29" s="4"/>
      <c r="E29" s="4" t="str">
        <f t="shared" si="1"/>
        <v/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4"/>
      <c r="B30" s="4"/>
      <c r="C30" s="4"/>
      <c r="D30" s="4"/>
      <c r="E30" s="4" t="str">
        <f t="shared" si="1"/>
        <v/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4"/>
      <c r="B31" s="4"/>
      <c r="C31" s="4"/>
      <c r="D31" s="4"/>
      <c r="E31" s="4" t="str">
        <f t="shared" si="1"/>
        <v/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4" t="s">
        <v>129</v>
      </c>
      <c r="B32" s="4"/>
      <c r="C32" s="4"/>
      <c r="D32" s="4"/>
      <c r="E32" s="4" t="str">
        <f t="shared" si="1"/>
        <v/>
      </c>
      <c r="F32" s="5">
        <f>SUM(E32:E37)</f>
        <v>0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4"/>
      <c r="B33" s="4"/>
      <c r="C33" s="4"/>
      <c r="D33" s="4"/>
      <c r="E33" s="4" t="str">
        <f t="shared" si="1"/>
        <v/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4"/>
      <c r="B34" s="4"/>
      <c r="C34" s="4"/>
      <c r="D34" s="4"/>
      <c r="E34" s="4" t="str">
        <f t="shared" si="1"/>
        <v/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4"/>
      <c r="B35" s="4"/>
      <c r="C35" s="4"/>
      <c r="D35" s="4"/>
      <c r="E35" s="4" t="str">
        <f t="shared" si="1"/>
        <v/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4"/>
      <c r="B36" s="4"/>
      <c r="C36" s="4"/>
      <c r="D36" s="4"/>
      <c r="E36" s="4" t="str">
        <f t="shared" si="1"/>
        <v/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4"/>
      <c r="B37" s="4"/>
      <c r="C37" s="4"/>
      <c r="D37" s="4"/>
      <c r="E37" s="4" t="str">
        <f t="shared" si="1"/>
        <v/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4" t="s">
        <v>130</v>
      </c>
      <c r="B38" s="4"/>
      <c r="C38" s="4"/>
      <c r="D38" s="4"/>
      <c r="E38" s="4" t="str">
        <f t="shared" si="1"/>
        <v/>
      </c>
      <c r="F38" s="5">
        <f>SUM(E38:E43)</f>
        <v>0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4"/>
      <c r="B39" s="4"/>
      <c r="C39" s="4"/>
      <c r="D39" s="4"/>
      <c r="E39" s="4" t="str">
        <f t="shared" si="1"/>
        <v/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4"/>
      <c r="B40" s="4"/>
      <c r="C40" s="4"/>
      <c r="D40" s="4"/>
      <c r="E40" s="4" t="str">
        <f t="shared" si="1"/>
        <v/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4"/>
      <c r="B41" s="4"/>
      <c r="C41" s="4"/>
      <c r="D41" s="4"/>
      <c r="E41" s="4" t="str">
        <f t="shared" si="1"/>
        <v/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4"/>
      <c r="B42" s="4"/>
      <c r="C42" s="4"/>
      <c r="D42" s="4"/>
      <c r="E42" s="4" t="str">
        <f t="shared" si="1"/>
        <v/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4"/>
      <c r="B43" s="4"/>
      <c r="C43" s="4"/>
      <c r="D43" s="4"/>
      <c r="E43" s="4" t="str">
        <f t="shared" si="1"/>
        <v/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4" t="s">
        <v>131</v>
      </c>
      <c r="B44" s="4"/>
      <c r="C44" s="4"/>
      <c r="D44" s="4"/>
      <c r="E44" s="4" t="str">
        <f t="shared" si="1"/>
        <v/>
      </c>
      <c r="F44" s="5">
        <f>SUM(E44:E49)</f>
        <v>0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4"/>
      <c r="B45" s="4"/>
      <c r="C45" s="4"/>
      <c r="D45" s="4"/>
      <c r="E45" s="4" t="str">
        <f t="shared" si="1"/>
        <v/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4"/>
      <c r="B46" s="4"/>
      <c r="C46" s="4"/>
      <c r="D46" s="4"/>
      <c r="E46" s="4" t="str">
        <f t="shared" si="1"/>
        <v/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4"/>
      <c r="B47" s="4"/>
      <c r="C47" s="4"/>
      <c r="D47" s="4"/>
      <c r="E47" s="4" t="str">
        <f t="shared" si="1"/>
        <v/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4"/>
      <c r="B48" s="4"/>
      <c r="C48" s="4"/>
      <c r="D48" s="4"/>
      <c r="E48" s="4" t="str">
        <f t="shared" si="1"/>
        <v/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4"/>
      <c r="B49" s="4"/>
      <c r="C49" s="4"/>
      <c r="D49" s="4"/>
      <c r="E49" s="4" t="str">
        <f t="shared" si="1"/>
        <v/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4" t="s">
        <v>132</v>
      </c>
      <c r="B50" s="4"/>
      <c r="C50" s="4"/>
      <c r="D50" s="4"/>
      <c r="E50" s="4" t="str">
        <f t="shared" si="1"/>
        <v/>
      </c>
      <c r="F50" s="5">
        <f>SUM(E50:E55)</f>
        <v>0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4"/>
      <c r="B51" s="4"/>
      <c r="C51" s="4"/>
      <c r="D51" s="4"/>
      <c r="E51" s="4" t="str">
        <f t="shared" si="1"/>
        <v/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4"/>
      <c r="B52" s="4"/>
      <c r="C52" s="4"/>
      <c r="D52" s="4"/>
      <c r="E52" s="4" t="str">
        <f t="shared" si="1"/>
        <v/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4"/>
      <c r="B53" s="4"/>
      <c r="C53" s="4"/>
      <c r="D53" s="4"/>
      <c r="E53" s="4" t="str">
        <f t="shared" si="1"/>
        <v/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4"/>
      <c r="B54" s="4"/>
      <c r="C54" s="4"/>
      <c r="D54" s="4"/>
      <c r="E54" s="4" t="str">
        <f t="shared" si="1"/>
        <v/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4"/>
      <c r="B55" s="4"/>
      <c r="C55" s="4"/>
      <c r="D55" s="4"/>
      <c r="E55" s="4" t="str">
        <f t="shared" si="1"/>
        <v/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4" t="s">
        <v>133</v>
      </c>
      <c r="B56" s="4"/>
      <c r="C56" s="4"/>
      <c r="D56" s="4"/>
      <c r="E56" s="4" t="str">
        <f t="shared" si="1"/>
        <v/>
      </c>
      <c r="F56" s="5">
        <f>SUM(E56:E61)</f>
        <v>0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4"/>
      <c r="B57" s="4"/>
      <c r="C57" s="5"/>
      <c r="D57" s="5"/>
      <c r="E57" s="4" t="str">
        <f t="shared" si="1"/>
        <v/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4"/>
      <c r="B58" s="4"/>
      <c r="C58" s="5"/>
      <c r="D58" s="5"/>
      <c r="E58" s="4" t="str">
        <f t="shared" si="1"/>
        <v/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4"/>
      <c r="B59" s="4"/>
      <c r="C59" s="5"/>
      <c r="D59" s="5"/>
      <c r="E59" s="4" t="str">
        <f t="shared" si="1"/>
        <v/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4"/>
      <c r="B60" s="4"/>
      <c r="C60" s="5"/>
      <c r="D60" s="5"/>
      <c r="E60" s="4" t="str">
        <f t="shared" si="1"/>
        <v/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4"/>
      <c r="B61" s="4"/>
      <c r="C61" s="5"/>
      <c r="D61" s="5"/>
      <c r="E61" s="4" t="str">
        <f t="shared" si="1"/>
        <v/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4" t="s">
        <v>134</v>
      </c>
      <c r="B62" s="4"/>
      <c r="C62" s="5"/>
      <c r="D62" s="5"/>
      <c r="E62" s="4" t="str">
        <f t="shared" si="1"/>
        <v/>
      </c>
      <c r="F62" s="5">
        <f>SUM(E62:E67)</f>
        <v>0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4"/>
      <c r="B63" s="5"/>
      <c r="C63" s="5"/>
      <c r="D63" s="5"/>
      <c r="E63" s="4" t="str">
        <f t="shared" si="1"/>
        <v/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4"/>
      <c r="B64" s="5"/>
      <c r="C64" s="5"/>
      <c r="D64" s="5"/>
      <c r="E64" s="4" t="str">
        <f t="shared" si="1"/>
        <v/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4"/>
      <c r="B65" s="5"/>
      <c r="C65" s="5"/>
      <c r="D65" s="5"/>
      <c r="E65" s="4" t="str">
        <f t="shared" si="1"/>
        <v/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4"/>
      <c r="B66" s="5"/>
      <c r="C66" s="5"/>
      <c r="D66" s="5"/>
      <c r="E66" s="4" t="str">
        <f t="shared" si="1"/>
        <v/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4"/>
      <c r="B67" s="5"/>
      <c r="C67" s="5"/>
      <c r="D67" s="5"/>
      <c r="E67" s="4" t="str">
        <f t="shared" si="1"/>
        <v/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4" t="s">
        <v>135</v>
      </c>
      <c r="B68" s="5"/>
      <c r="C68" s="5"/>
      <c r="D68" s="5"/>
      <c r="E68" s="4" t="str">
        <f t="shared" si="1"/>
        <v/>
      </c>
      <c r="F68" s="5">
        <f>SUM(E68:E73)</f>
        <v>0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4"/>
      <c r="B69" s="4"/>
      <c r="C69" s="5"/>
      <c r="D69" s="5"/>
      <c r="E69" s="4" t="str">
        <f t="shared" si="1"/>
        <v/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4"/>
      <c r="B70" s="4"/>
      <c r="C70" s="5"/>
      <c r="D70" s="5"/>
      <c r="E70" s="4" t="str">
        <f t="shared" si="1"/>
        <v/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4"/>
      <c r="B71" s="4"/>
      <c r="C71" s="5"/>
      <c r="D71" s="5"/>
      <c r="E71" s="4" t="str">
        <f t="shared" si="1"/>
        <v/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4"/>
      <c r="B72" s="4"/>
      <c r="C72" s="5"/>
      <c r="D72" s="5"/>
      <c r="E72" s="4" t="str">
        <f t="shared" si="1"/>
        <v/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4"/>
      <c r="B73" s="4"/>
      <c r="C73" s="5"/>
      <c r="D73" s="5"/>
      <c r="E73" s="4" t="str">
        <f t="shared" si="1"/>
        <v/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4" t="s">
        <v>136</v>
      </c>
      <c r="B74" s="4" t="str">
        <f>Race_Dashboard!E14</f>
        <v/>
      </c>
      <c r="C74" s="5"/>
      <c r="D74" s="5"/>
      <c r="E74" s="4" t="str">
        <f t="shared" si="1"/>
        <v/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4"/>
      <c r="B75" s="4"/>
      <c r="C75" s="5"/>
      <c r="D75" s="5"/>
      <c r="E75" s="4" t="str">
        <f t="shared" si="1"/>
        <v/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4"/>
      <c r="B76" s="4"/>
      <c r="C76" s="5"/>
      <c r="D76" s="5"/>
      <c r="E76" s="4" t="str">
        <f t="shared" si="1"/>
        <v/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4"/>
      <c r="B77" s="4"/>
      <c r="C77" s="5"/>
      <c r="D77" s="5"/>
      <c r="E77" s="4" t="str">
        <f t="shared" si="1"/>
        <v/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4"/>
      <c r="B78" s="4"/>
      <c r="C78" s="5"/>
      <c r="D78" s="5"/>
      <c r="E78" s="4" t="str">
        <f t="shared" si="1"/>
        <v/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4"/>
      <c r="B79" s="4"/>
      <c r="C79" s="5"/>
      <c r="D79" s="5"/>
      <c r="E79" s="4" t="str">
        <f t="shared" si="1"/>
        <v/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4" t="s">
        <v>137</v>
      </c>
      <c r="B80" s="4" t="str">
        <f>Race_Dashboard!F14</f>
        <v/>
      </c>
      <c r="C80" s="5"/>
      <c r="D80" s="5"/>
      <c r="E80" s="4" t="str">
        <f t="shared" si="1"/>
        <v/>
      </c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4"/>
      <c r="B81" s="4"/>
      <c r="C81" s="5"/>
      <c r="D81" s="5"/>
      <c r="E81" s="4" t="str">
        <f t="shared" si="1"/>
        <v/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4"/>
      <c r="B82" s="4"/>
      <c r="C82" s="5"/>
      <c r="D82" s="5"/>
      <c r="E82" s="4" t="str">
        <f t="shared" si="1"/>
        <v/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4"/>
      <c r="B83" s="4"/>
      <c r="C83" s="5"/>
      <c r="D83" s="5"/>
      <c r="E83" s="4" t="str">
        <f t="shared" si="1"/>
        <v/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4"/>
      <c r="B84" s="4"/>
      <c r="C84" s="5"/>
      <c r="D84" s="5"/>
      <c r="E84" s="4" t="str">
        <f t="shared" si="1"/>
        <v/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4"/>
      <c r="B85" s="4"/>
      <c r="C85" s="5"/>
      <c r="D85" s="5"/>
      <c r="E85" s="4" t="str">
        <f t="shared" si="1"/>
        <v/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4" t="s">
        <v>138</v>
      </c>
      <c r="B86" s="4" t="str">
        <f>Race_Dashboard!G14</f>
        <v/>
      </c>
      <c r="C86" s="5"/>
      <c r="D86" s="5"/>
      <c r="E86" s="4" t="str">
        <f t="shared" si="1"/>
        <v/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4"/>
      <c r="B87" s="4"/>
      <c r="C87" s="5"/>
      <c r="D87" s="5"/>
      <c r="E87" s="4" t="str">
        <f t="shared" si="1"/>
        <v/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4"/>
      <c r="B88" s="4"/>
      <c r="C88" s="5"/>
      <c r="D88" s="5"/>
      <c r="E88" s="4" t="str">
        <f t="shared" si="1"/>
        <v/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4"/>
      <c r="B89" s="4"/>
      <c r="C89" s="5"/>
      <c r="D89" s="5"/>
      <c r="E89" s="4" t="str">
        <f t="shared" si="1"/>
        <v/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4"/>
      <c r="B90" s="4"/>
      <c r="C90" s="5"/>
      <c r="D90" s="5"/>
      <c r="E90" s="4" t="str">
        <f t="shared" si="1"/>
        <v/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4"/>
      <c r="B91" s="4"/>
      <c r="C91" s="5"/>
      <c r="D91" s="5"/>
      <c r="E91" s="4" t="str">
        <f t="shared" si="1"/>
        <v/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4" t="s">
        <v>139</v>
      </c>
      <c r="B92" s="4" t="str">
        <f>Race_Dashboard!H14</f>
        <v/>
      </c>
      <c r="C92" s="5"/>
      <c r="D92" s="5"/>
      <c r="E92" s="4" t="str">
        <f t="shared" si="1"/>
        <v/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4"/>
      <c r="B93" s="4"/>
      <c r="C93" s="5"/>
      <c r="D93" s="5"/>
      <c r="E93" s="4" t="str">
        <f t="shared" si="1"/>
        <v/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4"/>
      <c r="B94" s="4"/>
      <c r="C94" s="5"/>
      <c r="D94" s="5"/>
      <c r="E94" s="4" t="str">
        <f t="shared" si="1"/>
        <v/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4"/>
      <c r="B95" s="4"/>
      <c r="C95" s="5"/>
      <c r="D95" s="5"/>
      <c r="E95" s="4" t="str">
        <f t="shared" si="1"/>
        <v/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4"/>
      <c r="B96" s="4"/>
      <c r="C96" s="5"/>
      <c r="D96" s="5"/>
      <c r="E96" s="4" t="str">
        <f t="shared" si="1"/>
        <v/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4"/>
      <c r="B97" s="4"/>
      <c r="C97" s="5"/>
      <c r="D97" s="5"/>
      <c r="E97" s="4" t="str">
        <f t="shared" si="1"/>
        <v/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4" t="s">
        <v>140</v>
      </c>
      <c r="B98" s="4"/>
      <c r="C98" s="5"/>
      <c r="D98" s="5"/>
      <c r="E98" s="4" t="str">
        <f t="shared" si="1"/>
        <v/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4"/>
      <c r="B99" s="4"/>
      <c r="C99" s="5"/>
      <c r="D99" s="5"/>
      <c r="E99" s="4" t="str">
        <f t="shared" si="1"/>
        <v/>
      </c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4"/>
      <c r="B100" s="4"/>
      <c r="C100" s="5"/>
      <c r="D100" s="5"/>
      <c r="E100" s="4" t="str">
        <f t="shared" si="1"/>
        <v/>
      </c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4"/>
      <c r="B101" s="4"/>
      <c r="C101" s="5"/>
      <c r="D101" s="5"/>
      <c r="E101" s="4" t="str">
        <f t="shared" si="1"/>
        <v/>
      </c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4"/>
      <c r="B102" s="4"/>
      <c r="C102" s="5"/>
      <c r="D102" s="5"/>
      <c r="E102" s="4" t="str">
        <f t="shared" si="1"/>
        <v/>
      </c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4"/>
      <c r="B103" s="4"/>
      <c r="C103" s="5"/>
      <c r="D103" s="5"/>
      <c r="E103" s="4" t="str">
        <f t="shared" si="1"/>
        <v/>
      </c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4" t="s">
        <v>141</v>
      </c>
      <c r="B104" s="4" t="str">
        <f>Race_Dashboard!J14</f>
        <v/>
      </c>
      <c r="C104" s="5"/>
      <c r="D104" s="5"/>
      <c r="E104" s="4" t="str">
        <f t="shared" si="1"/>
        <v/>
      </c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4" t="str">
        <f t="shared" si="1"/>
        <v/>
      </c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4" t="str">
        <f t="shared" si="1"/>
        <v/>
      </c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4" t="str">
        <f t="shared" si="1"/>
        <v/>
      </c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4" t="str">
        <f t="shared" si="1"/>
        <v/>
      </c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4" t="str">
        <f t="shared" si="1"/>
        <v/>
      </c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4" t="str">
        <f t="shared" si="1"/>
        <v/>
      </c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4" t="str">
        <f t="shared" si="1"/>
        <v/>
      </c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4" t="str">
        <f t="shared" si="1"/>
        <v/>
      </c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4" t="str">
        <f t="shared" si="1"/>
        <v/>
      </c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  <row r="1027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  <row r="1028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</row>
    <row r="1029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</row>
    <row r="1030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</row>
    <row r="1031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</row>
    <row r="1032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</row>
    <row r="1033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</row>
    <row r="1034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</row>
    <row r="1035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</row>
    <row r="1036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</row>
    <row r="1037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</row>
    <row r="1038">
      <c r="A1038" s="5"/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</row>
    <row r="1039">
      <c r="A1039" s="5"/>
      <c r="B1039" s="5"/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</row>
    <row r="1040">
      <c r="A1040" s="5"/>
      <c r="B1040" s="5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</row>
    <row r="1041">
      <c r="A1041" s="5"/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</row>
    <row r="1042">
      <c r="A1042" s="5"/>
      <c r="B1042" s="5"/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</row>
    <row r="1043">
      <c r="A1043" s="5"/>
      <c r="B1043" s="5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</row>
    <row r="1044">
      <c r="A1044" s="5"/>
      <c r="B1044" s="5"/>
      <c r="C1044" s="5"/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</row>
    <row r="1045">
      <c r="A1045" s="5"/>
      <c r="B1045" s="5"/>
      <c r="C1045" s="5"/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</row>
    <row r="1046">
      <c r="A1046" s="5"/>
      <c r="B1046" s="5"/>
      <c r="C1046" s="5"/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</row>
    <row r="1047">
      <c r="A1047" s="5"/>
      <c r="B1047" s="5"/>
      <c r="C1047" s="5"/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</row>
    <row r="1048">
      <c r="A1048" s="5"/>
      <c r="B1048" s="5"/>
      <c r="C1048" s="5"/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</row>
    <row r="1049">
      <c r="A1049" s="5"/>
      <c r="B1049" s="5"/>
      <c r="C1049" s="5"/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</row>
    <row r="1050">
      <c r="A1050" s="5"/>
      <c r="B1050" s="5"/>
      <c r="C1050" s="5"/>
      <c r="D1050" s="5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</row>
    <row r="1051">
      <c r="A1051" s="5"/>
      <c r="B1051" s="5"/>
      <c r="C1051" s="5"/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</row>
    <row r="1052">
      <c r="A1052" s="5"/>
      <c r="B1052" s="5"/>
      <c r="C1052" s="5"/>
      <c r="D1052" s="5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</row>
    <row r="1053">
      <c r="A1053" s="5"/>
      <c r="B1053" s="5"/>
      <c r="C1053" s="5"/>
      <c r="D1053" s="5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</row>
    <row r="1054">
      <c r="A1054" s="5"/>
      <c r="B1054" s="5"/>
      <c r="C1054" s="5"/>
      <c r="D1054" s="5"/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</row>
    <row r="1055">
      <c r="A1055" s="5"/>
      <c r="B1055" s="5"/>
      <c r="C1055" s="5"/>
      <c r="D1055" s="5"/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</row>
    <row r="1056">
      <c r="A1056" s="5"/>
      <c r="B1056" s="5"/>
      <c r="C1056" s="5"/>
      <c r="D1056" s="5"/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</row>
    <row r="1057">
      <c r="A1057" s="5"/>
      <c r="B1057" s="5"/>
      <c r="C1057" s="5"/>
      <c r="D1057" s="5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</row>
    <row r="1058">
      <c r="A1058" s="5"/>
      <c r="B1058" s="5"/>
      <c r="C1058" s="5"/>
      <c r="D1058" s="5"/>
      <c r="E1058" s="5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</row>
    <row r="1059">
      <c r="A1059" s="5"/>
      <c r="B1059" s="5"/>
      <c r="C1059" s="5"/>
      <c r="D1059" s="5"/>
      <c r="E1059" s="5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</row>
    <row r="1060">
      <c r="A1060" s="5"/>
      <c r="B1060" s="5"/>
      <c r="C1060" s="5"/>
      <c r="D1060" s="5"/>
      <c r="E1060" s="5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</row>
    <row r="1061">
      <c r="A1061" s="5"/>
      <c r="B1061" s="5"/>
      <c r="C1061" s="5"/>
      <c r="D1061" s="5"/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</row>
    <row r="1062">
      <c r="A1062" s="5"/>
      <c r="B1062" s="5"/>
      <c r="C1062" s="5"/>
      <c r="D1062" s="5"/>
      <c r="E1062" s="5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</row>
    <row r="1063">
      <c r="A1063" s="5"/>
      <c r="B1063" s="5"/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</row>
    <row r="1064">
      <c r="A1064" s="5"/>
      <c r="B1064" s="5"/>
      <c r="C1064" s="5"/>
      <c r="D1064" s="5"/>
      <c r="E1064" s="5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</row>
    <row r="1065">
      <c r="A1065" s="5"/>
      <c r="B1065" s="5"/>
      <c r="C1065" s="5"/>
      <c r="D1065" s="5"/>
      <c r="E1065" s="5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</row>
    <row r="1066">
      <c r="A1066" s="5"/>
      <c r="B1066" s="5"/>
      <c r="C1066" s="5"/>
      <c r="D1066" s="5"/>
      <c r="E1066" s="5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</row>
    <row r="1067">
      <c r="A1067" s="5"/>
      <c r="B1067" s="5"/>
      <c r="C1067" s="5"/>
      <c r="D1067" s="5"/>
      <c r="E1067" s="5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</row>
    <row r="1068">
      <c r="A1068" s="5"/>
      <c r="B1068" s="5"/>
      <c r="C1068" s="5"/>
      <c r="D1068" s="5"/>
      <c r="E1068" s="5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</row>
    <row r="1069">
      <c r="A1069" s="5"/>
      <c r="B1069" s="5"/>
      <c r="C1069" s="5"/>
      <c r="D1069" s="5"/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</row>
    <row r="1070">
      <c r="A1070" s="5"/>
      <c r="B1070" s="5"/>
      <c r="C1070" s="5"/>
      <c r="D1070" s="5"/>
      <c r="E1070" s="5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</row>
    <row r="1071">
      <c r="A1071" s="5"/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</row>
    <row r="1072">
      <c r="A1072" s="5"/>
      <c r="B1072" s="5"/>
      <c r="C1072" s="5"/>
      <c r="D1072" s="5"/>
      <c r="E1072" s="5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</row>
    <row r="1073">
      <c r="A1073" s="5"/>
      <c r="B1073" s="5"/>
      <c r="C1073" s="5"/>
      <c r="D1073" s="5"/>
      <c r="E1073" s="5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</row>
    <row r="1074">
      <c r="A1074" s="5"/>
      <c r="B1074" s="5"/>
      <c r="C1074" s="5"/>
      <c r="D1074" s="5"/>
      <c r="E1074" s="5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</row>
    <row r="1075">
      <c r="A1075" s="5"/>
      <c r="B1075" s="5"/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</row>
    <row r="1076">
      <c r="A1076" s="5"/>
      <c r="B1076" s="5"/>
      <c r="C1076" s="5"/>
      <c r="D1076" s="5"/>
      <c r="E1076" s="5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</row>
    <row r="1077">
      <c r="A1077" s="5"/>
      <c r="B1077" s="5"/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</row>
    <row r="1078">
      <c r="A1078" s="5"/>
      <c r="B1078" s="5"/>
      <c r="C1078" s="5"/>
      <c r="D1078" s="5"/>
      <c r="E1078" s="5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</row>
    <row r="1079">
      <c r="A1079" s="5"/>
      <c r="B1079" s="5"/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</row>
    <row r="1080">
      <c r="A1080" s="5"/>
      <c r="B1080" s="5"/>
      <c r="C1080" s="5"/>
      <c r="D1080" s="5"/>
      <c r="E1080" s="5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</row>
    <row r="1081">
      <c r="A1081" s="5"/>
      <c r="B1081" s="5"/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</row>
    <row r="1082">
      <c r="A1082" s="5"/>
      <c r="B1082" s="5"/>
      <c r="C1082" s="5"/>
      <c r="D1082" s="5"/>
      <c r="E1082" s="5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</row>
    <row r="1083">
      <c r="A1083" s="5"/>
      <c r="B1083" s="5"/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</row>
    <row r="1084">
      <c r="A1084" s="5"/>
      <c r="B1084" s="5"/>
      <c r="C1084" s="5"/>
      <c r="D1084" s="5"/>
      <c r="E1084" s="5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</row>
    <row r="1085">
      <c r="A1085" s="5"/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</row>
  </sheetData>
  <conditionalFormatting sqref="B33:B68">
    <cfRule type="notContainsBlanks" dxfId="0" priority="1">
      <formula>LEN(TRIM(B33))&gt;0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2" max="2" width="30.5"/>
    <col customWidth="1" min="3" max="3" width="11.13"/>
    <col customWidth="1" min="4" max="4" width="14.0"/>
    <col customWidth="1" min="5" max="5" width="49.25"/>
  </cols>
  <sheetData>
    <row r="1">
      <c r="A1" s="4" t="s">
        <v>0</v>
      </c>
      <c r="B1" s="4" t="s">
        <v>46</v>
      </c>
      <c r="C1" s="4" t="s">
        <v>142</v>
      </c>
      <c r="D1" s="4" t="s">
        <v>143</v>
      </c>
      <c r="E1" s="4" t="s">
        <v>144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4" t="s">
        <v>124</v>
      </c>
      <c r="B2" s="4" t="s">
        <v>19</v>
      </c>
      <c r="C2" s="4">
        <v>1.0</v>
      </c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4" t="s">
        <v>124</v>
      </c>
      <c r="B3" s="4" t="s">
        <v>20</v>
      </c>
      <c r="C3" s="4">
        <v>2.0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4" t="s">
        <v>124</v>
      </c>
      <c r="B4" s="4" t="s">
        <v>21</v>
      </c>
      <c r="C4" s="4">
        <v>3.0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4" t="s">
        <v>124</v>
      </c>
      <c r="B5" s="4" t="s">
        <v>22</v>
      </c>
      <c r="C5" s="4">
        <v>4.0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4" t="s">
        <v>124</v>
      </c>
      <c r="B6" s="4" t="s">
        <v>23</v>
      </c>
      <c r="C6" s="4">
        <v>5.0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4" t="s">
        <v>124</v>
      </c>
      <c r="B7" s="4" t="s">
        <v>24</v>
      </c>
      <c r="C7" s="4">
        <v>6.0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ataValidations>
    <dataValidation type="list" allowBlank="1" showErrorMessage="1" sqref="B2:B60">
      <formula1>Driver_List!$A$2:$A$26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3.63"/>
    <col customWidth="1" min="3" max="3" width="17.38"/>
    <col customWidth="1" min="4" max="4" width="9.38"/>
    <col customWidth="1" min="5" max="5" width="11.13"/>
    <col customWidth="1" min="6" max="6" width="8.63"/>
  </cols>
  <sheetData>
    <row r="1">
      <c r="A1" s="6" t="s">
        <v>145</v>
      </c>
      <c r="B1" s="6" t="s">
        <v>146</v>
      </c>
      <c r="C1" s="6" t="s">
        <v>46</v>
      </c>
      <c r="D1" s="6" t="s">
        <v>147</v>
      </c>
      <c r="E1" s="6" t="s">
        <v>148</v>
      </c>
      <c r="F1" s="6" t="s">
        <v>149</v>
      </c>
    </row>
    <row r="2">
      <c r="A2" s="6">
        <v>1.0</v>
      </c>
      <c r="B2" s="6">
        <v>3.0</v>
      </c>
      <c r="C2" s="6" t="s">
        <v>150</v>
      </c>
      <c r="D2" s="6" t="s">
        <v>151</v>
      </c>
      <c r="E2" s="6">
        <v>106.052</v>
      </c>
      <c r="F2" s="6">
        <v>43.0</v>
      </c>
    </row>
    <row r="3">
      <c r="A3" s="6">
        <v>2.0</v>
      </c>
      <c r="B3" s="6">
        <v>60.0</v>
      </c>
      <c r="C3" s="6" t="s">
        <v>152</v>
      </c>
      <c r="D3" s="6" t="s">
        <v>153</v>
      </c>
      <c r="E3" s="6">
        <v>105.941</v>
      </c>
      <c r="F3" s="6">
        <v>42.0</v>
      </c>
    </row>
    <row r="4">
      <c r="A4" s="6">
        <v>3.0</v>
      </c>
      <c r="B4" s="6">
        <v>27.0</v>
      </c>
      <c r="C4" s="6" t="s">
        <v>154</v>
      </c>
      <c r="D4" s="6" t="s">
        <v>155</v>
      </c>
      <c r="E4" s="6">
        <v>105.921</v>
      </c>
      <c r="F4" s="6">
        <v>44.0</v>
      </c>
    </row>
    <row r="5">
      <c r="A5" s="6">
        <v>4.0</v>
      </c>
      <c r="B5" s="6">
        <v>8.0</v>
      </c>
      <c r="C5" s="6" t="s">
        <v>156</v>
      </c>
      <c r="D5" s="6" t="s">
        <v>157</v>
      </c>
      <c r="E5" s="6">
        <v>105.92</v>
      </c>
      <c r="F5" s="6">
        <v>42.0</v>
      </c>
    </row>
    <row r="6">
      <c r="A6" s="6">
        <v>5.0</v>
      </c>
      <c r="B6" s="6">
        <v>28.0</v>
      </c>
      <c r="C6" s="6" t="s">
        <v>158</v>
      </c>
      <c r="D6" s="6" t="s">
        <v>159</v>
      </c>
      <c r="E6" s="6">
        <v>105.888</v>
      </c>
      <c r="F6" s="6">
        <v>43.0</v>
      </c>
    </row>
    <row r="7">
      <c r="A7" s="6">
        <v>6.0</v>
      </c>
      <c r="B7" s="6">
        <v>10.0</v>
      </c>
      <c r="C7" s="6" t="s">
        <v>160</v>
      </c>
      <c r="D7" s="6" t="s">
        <v>161</v>
      </c>
      <c r="E7" s="6">
        <v>105.776</v>
      </c>
      <c r="F7" s="6">
        <v>37.0</v>
      </c>
    </row>
    <row r="8">
      <c r="A8" s="6">
        <v>7.0</v>
      </c>
      <c r="B8" s="6">
        <v>66.0</v>
      </c>
      <c r="C8" s="6" t="s">
        <v>162</v>
      </c>
      <c r="D8" s="6" t="s">
        <v>163</v>
      </c>
      <c r="E8" s="6">
        <v>105.704</v>
      </c>
      <c r="F8" s="6">
        <v>45.0</v>
      </c>
    </row>
    <row r="9">
      <c r="A9" s="6">
        <v>8.0</v>
      </c>
      <c r="B9" s="6">
        <v>21.0</v>
      </c>
      <c r="C9" s="6" t="s">
        <v>164</v>
      </c>
      <c r="D9" s="6" t="s">
        <v>165</v>
      </c>
      <c r="E9" s="6">
        <v>105.395</v>
      </c>
      <c r="F9" s="6">
        <v>34.0</v>
      </c>
    </row>
    <row r="10">
      <c r="A10" s="6">
        <v>9.0</v>
      </c>
      <c r="B10" s="6">
        <v>12.0</v>
      </c>
      <c r="C10" s="6" t="s">
        <v>166</v>
      </c>
      <c r="D10" s="6" t="s">
        <v>167</v>
      </c>
      <c r="E10" s="6">
        <v>105.388</v>
      </c>
      <c r="F10" s="6">
        <v>47.0</v>
      </c>
    </row>
    <row r="11">
      <c r="A11" s="6">
        <v>10.0</v>
      </c>
      <c r="B11" s="6">
        <v>7.0</v>
      </c>
      <c r="C11" s="6" t="s">
        <v>168</v>
      </c>
      <c r="D11" s="6" t="s">
        <v>169</v>
      </c>
      <c r="E11" s="6">
        <v>105.326</v>
      </c>
      <c r="F11" s="6">
        <v>33.0</v>
      </c>
    </row>
    <row r="12">
      <c r="A12" s="6">
        <v>11.0</v>
      </c>
      <c r="B12" s="6">
        <v>76.0</v>
      </c>
      <c r="C12" s="6" t="s">
        <v>170</v>
      </c>
      <c r="D12" s="6" t="s">
        <v>171</v>
      </c>
      <c r="E12" s="6">
        <v>105.29</v>
      </c>
      <c r="F12" s="6">
        <v>40.0</v>
      </c>
    </row>
    <row r="13">
      <c r="A13" s="6">
        <v>12.0</v>
      </c>
      <c r="B13" s="6">
        <v>5.0</v>
      </c>
      <c r="C13" s="6" t="s">
        <v>172</v>
      </c>
      <c r="D13" s="6" t="s">
        <v>173</v>
      </c>
      <c r="E13" s="6">
        <v>105.237</v>
      </c>
      <c r="F13" s="6">
        <v>43.0</v>
      </c>
    </row>
    <row r="14">
      <c r="A14" s="6">
        <v>13.0</v>
      </c>
      <c r="B14" s="6">
        <v>18.0</v>
      </c>
      <c r="C14" s="6" t="s">
        <v>174</v>
      </c>
      <c r="D14" s="6" t="s">
        <v>175</v>
      </c>
      <c r="E14" s="6">
        <v>104.933</v>
      </c>
      <c r="F14" s="6">
        <v>50.0</v>
      </c>
    </row>
    <row r="15">
      <c r="A15" s="6">
        <v>14.0</v>
      </c>
      <c r="B15" s="6">
        <v>20.0</v>
      </c>
      <c r="C15" s="6" t="s">
        <v>176</v>
      </c>
      <c r="D15" s="6" t="s">
        <v>177</v>
      </c>
      <c r="E15" s="6">
        <v>104.913</v>
      </c>
      <c r="F15" s="6">
        <v>37.0</v>
      </c>
    </row>
    <row r="16">
      <c r="A16" s="6">
        <v>15.0</v>
      </c>
      <c r="B16" s="6">
        <v>2.0</v>
      </c>
      <c r="C16" s="6" t="s">
        <v>178</v>
      </c>
      <c r="D16" s="6" t="s">
        <v>179</v>
      </c>
      <c r="E16" s="6">
        <v>104.886</v>
      </c>
      <c r="F16" s="6">
        <v>42.0</v>
      </c>
    </row>
    <row r="17">
      <c r="A17" s="6">
        <v>16.0</v>
      </c>
      <c r="B17" s="6">
        <v>9.0</v>
      </c>
      <c r="C17" s="6" t="s">
        <v>180</v>
      </c>
      <c r="D17" s="6" t="s">
        <v>181</v>
      </c>
      <c r="E17" s="6">
        <v>104.855</v>
      </c>
      <c r="F17" s="6">
        <v>38.0</v>
      </c>
    </row>
    <row r="18">
      <c r="A18" s="6">
        <v>17.0</v>
      </c>
      <c r="B18" s="6">
        <v>14.0</v>
      </c>
      <c r="C18" s="6" t="s">
        <v>182</v>
      </c>
      <c r="D18" s="6" t="s">
        <v>183</v>
      </c>
      <c r="E18" s="6">
        <v>104.785</v>
      </c>
      <c r="F18" s="6">
        <v>39.0</v>
      </c>
    </row>
    <row r="19">
      <c r="A19" s="6">
        <v>18.0</v>
      </c>
      <c r="B19" s="6">
        <v>19.0</v>
      </c>
      <c r="C19" s="6" t="s">
        <v>184</v>
      </c>
      <c r="D19" s="6" t="s">
        <v>185</v>
      </c>
      <c r="E19" s="6">
        <v>104.739</v>
      </c>
      <c r="F19" s="6">
        <v>48.0</v>
      </c>
    </row>
    <row r="20">
      <c r="A20" s="6">
        <v>19.0</v>
      </c>
      <c r="B20" s="6">
        <v>26.0</v>
      </c>
      <c r="C20" s="6" t="s">
        <v>186</v>
      </c>
      <c r="D20" s="6" t="s">
        <v>187</v>
      </c>
      <c r="E20" s="6">
        <v>104.619</v>
      </c>
      <c r="F20" s="6">
        <v>24.0</v>
      </c>
    </row>
    <row r="21">
      <c r="A21" s="6">
        <v>20.0</v>
      </c>
      <c r="B21" s="6">
        <v>77.0</v>
      </c>
      <c r="C21" s="6" t="s">
        <v>188</v>
      </c>
      <c r="D21" s="6" t="s">
        <v>189</v>
      </c>
      <c r="E21" s="6">
        <v>104.532</v>
      </c>
      <c r="F21" s="6">
        <v>44.0</v>
      </c>
    </row>
    <row r="22">
      <c r="A22" s="6">
        <v>21.0</v>
      </c>
      <c r="B22" s="6">
        <v>6.0</v>
      </c>
      <c r="C22" s="6" t="s">
        <v>190</v>
      </c>
      <c r="D22" s="6" t="s">
        <v>191</v>
      </c>
      <c r="E22" s="6">
        <v>104.426</v>
      </c>
      <c r="F22" s="6">
        <v>50.0</v>
      </c>
    </row>
    <row r="23">
      <c r="A23" s="6">
        <v>22.0</v>
      </c>
      <c r="B23" s="6">
        <v>15.0</v>
      </c>
      <c r="C23" s="6" t="s">
        <v>192</v>
      </c>
      <c r="D23" s="6" t="s">
        <v>193</v>
      </c>
      <c r="E23" s="6">
        <v>104.345</v>
      </c>
      <c r="F23" s="6">
        <v>41.0</v>
      </c>
    </row>
    <row r="24">
      <c r="A24" s="6">
        <v>23.0</v>
      </c>
      <c r="B24" s="6">
        <v>45.0</v>
      </c>
      <c r="C24" s="6" t="s">
        <v>194</v>
      </c>
      <c r="D24" s="6" t="s">
        <v>195</v>
      </c>
      <c r="E24" s="6">
        <v>104.261</v>
      </c>
      <c r="F24" s="6">
        <v>31.0</v>
      </c>
    </row>
    <row r="25">
      <c r="A25" s="6">
        <v>24.0</v>
      </c>
      <c r="B25" s="6">
        <v>47.0</v>
      </c>
      <c r="C25" s="6" t="s">
        <v>196</v>
      </c>
      <c r="D25" s="6" t="s">
        <v>197</v>
      </c>
      <c r="E25" s="6">
        <v>104.229</v>
      </c>
      <c r="F25" s="6">
        <v>55.0</v>
      </c>
    </row>
    <row r="26">
      <c r="A26" s="6">
        <v>25.0</v>
      </c>
      <c r="B26" s="6">
        <v>4.0</v>
      </c>
      <c r="C26" s="6" t="s">
        <v>198</v>
      </c>
      <c r="D26" s="6" t="s">
        <v>199</v>
      </c>
      <c r="E26" s="6">
        <v>104.084</v>
      </c>
      <c r="F26" s="6">
        <v>41.0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3.63"/>
    <col customWidth="1" min="3" max="3" width="17.38"/>
    <col customWidth="1" min="4" max="4" width="9.38"/>
    <col customWidth="1" min="5" max="5" width="11.13"/>
    <col customWidth="1" min="6" max="6" width="23.38"/>
  </cols>
  <sheetData>
    <row r="1">
      <c r="A1" s="13" t="s">
        <v>124</v>
      </c>
      <c r="B1" s="13"/>
      <c r="C1" s="13"/>
      <c r="D1" s="13"/>
      <c r="E1" s="13"/>
      <c r="F1" s="13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6" t="s">
        <v>145</v>
      </c>
      <c r="B2" s="6" t="s">
        <v>146</v>
      </c>
      <c r="C2" s="6" t="s">
        <v>46</v>
      </c>
      <c r="D2" s="6" t="s">
        <v>200</v>
      </c>
      <c r="E2" s="6" t="s">
        <v>148</v>
      </c>
      <c r="F2" s="6" t="s">
        <v>201</v>
      </c>
    </row>
    <row r="3">
      <c r="A3" s="6">
        <v>1.0</v>
      </c>
      <c r="B3" s="6">
        <v>3.0</v>
      </c>
      <c r="C3" s="6" t="s">
        <v>150</v>
      </c>
      <c r="D3" s="6" t="s">
        <v>202</v>
      </c>
      <c r="E3" s="6">
        <v>107.032</v>
      </c>
      <c r="F3" s="6" t="s">
        <v>203</v>
      </c>
    </row>
    <row r="4">
      <c r="A4" s="6">
        <v>2.0</v>
      </c>
      <c r="B4" s="6">
        <v>28.0</v>
      </c>
      <c r="C4" s="6" t="s">
        <v>158</v>
      </c>
      <c r="D4" s="6" t="s">
        <v>204</v>
      </c>
      <c r="E4" s="6">
        <v>106.998</v>
      </c>
      <c r="F4" s="6" t="s">
        <v>203</v>
      </c>
    </row>
    <row r="5">
      <c r="A5" s="6">
        <v>3.0</v>
      </c>
      <c r="B5" s="6">
        <v>19.0</v>
      </c>
      <c r="C5" s="6" t="s">
        <v>184</v>
      </c>
      <c r="D5" s="6" t="s">
        <v>205</v>
      </c>
      <c r="E5" s="6">
        <v>106.976</v>
      </c>
      <c r="F5" s="6" t="s">
        <v>203</v>
      </c>
    </row>
    <row r="6">
      <c r="A6" s="6">
        <v>4.0</v>
      </c>
      <c r="B6" s="6">
        <v>10.0</v>
      </c>
      <c r="C6" s="6" t="s">
        <v>160</v>
      </c>
      <c r="D6" s="6" t="s">
        <v>206</v>
      </c>
      <c r="E6" s="6">
        <v>106.782</v>
      </c>
      <c r="F6" s="6" t="s">
        <v>203</v>
      </c>
    </row>
    <row r="7">
      <c r="A7" s="6">
        <v>5.0</v>
      </c>
      <c r="B7" s="6">
        <v>12.0</v>
      </c>
      <c r="C7" s="6" t="s">
        <v>166</v>
      </c>
      <c r="D7" s="6" t="s">
        <v>207</v>
      </c>
      <c r="E7" s="6">
        <v>106.642</v>
      </c>
      <c r="F7" s="6" t="s">
        <v>203</v>
      </c>
    </row>
    <row r="8">
      <c r="A8" s="6">
        <v>6.0</v>
      </c>
      <c r="B8" s="6">
        <v>18.0</v>
      </c>
      <c r="C8" s="6" t="s">
        <v>174</v>
      </c>
      <c r="D8" s="6" t="s">
        <v>208</v>
      </c>
      <c r="E8" s="6">
        <v>105.63</v>
      </c>
      <c r="F8" s="6" t="s">
        <v>203</v>
      </c>
    </row>
    <row r="9">
      <c r="A9" s="6">
        <v>7.0</v>
      </c>
      <c r="B9" s="6">
        <v>66.0</v>
      </c>
      <c r="C9" s="6" t="s">
        <v>162</v>
      </c>
      <c r="D9" s="6" t="s">
        <v>209</v>
      </c>
      <c r="E9" s="6">
        <v>106.611</v>
      </c>
      <c r="F9" s="6" t="s">
        <v>210</v>
      </c>
    </row>
    <row r="10">
      <c r="A10" s="6">
        <v>8.0</v>
      </c>
      <c r="B10" s="6">
        <v>5.0</v>
      </c>
      <c r="C10" s="6" t="s">
        <v>172</v>
      </c>
      <c r="D10" s="6" t="s">
        <v>211</v>
      </c>
      <c r="E10" s="6">
        <v>106.428</v>
      </c>
      <c r="F10" s="6" t="s">
        <v>210</v>
      </c>
    </row>
    <row r="11">
      <c r="A11" s="6">
        <v>9.0</v>
      </c>
      <c r="B11" s="6">
        <v>45.0</v>
      </c>
      <c r="C11" s="6" t="s">
        <v>194</v>
      </c>
      <c r="D11" s="6" t="s">
        <v>212</v>
      </c>
      <c r="E11" s="6">
        <v>106.322</v>
      </c>
      <c r="F11" s="6" t="s">
        <v>210</v>
      </c>
    </row>
    <row r="12">
      <c r="A12" s="6">
        <v>10.0</v>
      </c>
      <c r="B12" s="6">
        <v>8.0</v>
      </c>
      <c r="C12" s="6" t="s">
        <v>156</v>
      </c>
      <c r="D12" s="6" t="s">
        <v>213</v>
      </c>
      <c r="E12" s="6">
        <v>106.262</v>
      </c>
      <c r="F12" s="6" t="s">
        <v>210</v>
      </c>
    </row>
    <row r="13">
      <c r="A13" s="6">
        <v>11.0</v>
      </c>
      <c r="B13" s="6">
        <v>60.0</v>
      </c>
      <c r="C13" s="6" t="s">
        <v>152</v>
      </c>
      <c r="D13" s="6" t="s">
        <v>214</v>
      </c>
      <c r="E13" s="6">
        <v>106.257</v>
      </c>
      <c r="F13" s="6" t="s">
        <v>210</v>
      </c>
    </row>
    <row r="14">
      <c r="A14" s="6">
        <v>12.0</v>
      </c>
      <c r="B14" s="6">
        <v>7.0</v>
      </c>
      <c r="C14" s="6" t="s">
        <v>168</v>
      </c>
      <c r="D14" s="6" t="s">
        <v>215</v>
      </c>
      <c r="E14" s="6">
        <v>106.257</v>
      </c>
      <c r="F14" s="6" t="s">
        <v>210</v>
      </c>
    </row>
    <row r="15">
      <c r="A15" s="6">
        <v>13.0</v>
      </c>
      <c r="B15" s="6">
        <v>26.0</v>
      </c>
      <c r="C15" s="6" t="s">
        <v>186</v>
      </c>
      <c r="D15" s="6" t="s">
        <v>216</v>
      </c>
      <c r="E15" s="6">
        <v>105.893</v>
      </c>
      <c r="F15" s="6" t="s">
        <v>217</v>
      </c>
    </row>
    <row r="16">
      <c r="A16" s="6">
        <v>14.0</v>
      </c>
      <c r="B16" s="6">
        <v>21.0</v>
      </c>
      <c r="C16" s="6" t="s">
        <v>164</v>
      </c>
      <c r="D16" s="6" t="s">
        <v>218</v>
      </c>
      <c r="E16" s="6">
        <v>105.911</v>
      </c>
      <c r="F16" s="6" t="s">
        <v>219</v>
      </c>
    </row>
    <row r="17">
      <c r="A17" s="6">
        <v>15.0</v>
      </c>
      <c r="B17" s="6">
        <v>27.0</v>
      </c>
      <c r="C17" s="6" t="s">
        <v>154</v>
      </c>
      <c r="D17" s="6" t="s">
        <v>220</v>
      </c>
      <c r="E17" s="6">
        <v>105.829</v>
      </c>
      <c r="F17" s="6" t="s">
        <v>217</v>
      </c>
    </row>
    <row r="18">
      <c r="A18" s="6">
        <v>16.0</v>
      </c>
      <c r="B18" s="6">
        <v>9.0</v>
      </c>
      <c r="C18" s="6" t="s">
        <v>180</v>
      </c>
      <c r="D18" s="6" t="s">
        <v>221</v>
      </c>
      <c r="E18" s="6">
        <v>105.863</v>
      </c>
      <c r="F18" s="6" t="s">
        <v>219</v>
      </c>
    </row>
    <row r="19">
      <c r="A19" s="6">
        <v>17.0</v>
      </c>
      <c r="B19" s="6">
        <v>14.0</v>
      </c>
      <c r="C19" s="6" t="s">
        <v>182</v>
      </c>
      <c r="D19" s="6" t="s">
        <v>222</v>
      </c>
      <c r="E19" s="6">
        <v>105.773</v>
      </c>
      <c r="F19" s="6" t="s">
        <v>217</v>
      </c>
    </row>
    <row r="20">
      <c r="A20" s="6">
        <v>18.0</v>
      </c>
      <c r="B20" s="6">
        <v>15.0</v>
      </c>
      <c r="C20" s="6" t="s">
        <v>192</v>
      </c>
      <c r="D20" s="6" t="s">
        <v>223</v>
      </c>
      <c r="E20" s="6">
        <v>105.838</v>
      </c>
      <c r="F20" s="6" t="s">
        <v>219</v>
      </c>
    </row>
    <row r="21">
      <c r="A21" s="6">
        <v>19.0</v>
      </c>
      <c r="B21" s="6">
        <v>76.0</v>
      </c>
      <c r="C21" s="6" t="s">
        <v>170</v>
      </c>
      <c r="D21" s="6" t="s">
        <v>224</v>
      </c>
      <c r="E21" s="6">
        <v>105.586</v>
      </c>
      <c r="F21" s="6" t="s">
        <v>217</v>
      </c>
    </row>
    <row r="22">
      <c r="A22" s="6">
        <v>20.0</v>
      </c>
      <c r="B22" s="6">
        <v>77.0</v>
      </c>
      <c r="C22" s="6" t="s">
        <v>188</v>
      </c>
      <c r="D22" s="6" t="s">
        <v>225</v>
      </c>
      <c r="E22" s="6">
        <v>105.595</v>
      </c>
      <c r="F22" s="6" t="s">
        <v>219</v>
      </c>
    </row>
    <row r="23">
      <c r="A23" s="6">
        <v>21.0</v>
      </c>
      <c r="B23" s="6">
        <v>47.0</v>
      </c>
      <c r="C23" s="6" t="s">
        <v>196</v>
      </c>
      <c r="D23" s="6" t="s">
        <v>226</v>
      </c>
      <c r="E23" s="6">
        <v>105.54</v>
      </c>
      <c r="F23" s="6" t="s">
        <v>217</v>
      </c>
    </row>
    <row r="24">
      <c r="A24" s="6">
        <v>22.0</v>
      </c>
      <c r="B24" s="6">
        <v>6.0</v>
      </c>
      <c r="C24" s="6" t="s">
        <v>190</v>
      </c>
      <c r="D24" s="6" t="s">
        <v>227</v>
      </c>
      <c r="E24" s="6">
        <v>105.452</v>
      </c>
      <c r="F24" s="6" t="s">
        <v>219</v>
      </c>
    </row>
    <row r="25">
      <c r="A25" s="6">
        <v>23.0</v>
      </c>
      <c r="B25" s="6">
        <v>2.0</v>
      </c>
      <c r="C25" s="6" t="s">
        <v>178</v>
      </c>
      <c r="D25" s="6" t="s">
        <v>228</v>
      </c>
      <c r="E25" s="6">
        <v>105.508</v>
      </c>
      <c r="F25" s="6" t="s">
        <v>217</v>
      </c>
    </row>
    <row r="26">
      <c r="A26" s="6">
        <v>24.0</v>
      </c>
      <c r="B26" s="6">
        <v>4.0</v>
      </c>
      <c r="C26" s="6" t="s">
        <v>198</v>
      </c>
      <c r="D26" s="6" t="s">
        <v>229</v>
      </c>
      <c r="E26" s="6">
        <v>105.243</v>
      </c>
      <c r="F26" s="6" t="s">
        <v>219</v>
      </c>
    </row>
    <row r="27">
      <c r="A27" s="6">
        <v>25.0</v>
      </c>
      <c r="B27" s="6">
        <v>20.0</v>
      </c>
      <c r="C27" s="6" t="s">
        <v>176</v>
      </c>
      <c r="D27" s="6" t="s">
        <v>230</v>
      </c>
      <c r="E27" s="6">
        <v>105.19</v>
      </c>
      <c r="F27" s="6" t="s">
        <v>219</v>
      </c>
    </row>
    <row r="28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13" t="s">
        <v>231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6" t="s">
        <v>145</v>
      </c>
      <c r="B30" s="6" t="s">
        <v>146</v>
      </c>
      <c r="C30" s="6" t="s">
        <v>46</v>
      </c>
      <c r="D30" s="6" t="s">
        <v>100</v>
      </c>
      <c r="E30" s="6" t="s">
        <v>232</v>
      </c>
      <c r="F30" s="6" t="s">
        <v>233</v>
      </c>
    </row>
    <row r="31">
      <c r="A31" s="6">
        <v>1.0</v>
      </c>
      <c r="B31" s="6">
        <v>12.0</v>
      </c>
      <c r="C31" s="6" t="s">
        <v>27</v>
      </c>
      <c r="D31" s="6" t="s">
        <v>108</v>
      </c>
      <c r="E31" s="6" t="s">
        <v>234</v>
      </c>
      <c r="F31" s="6">
        <v>175.383</v>
      </c>
    </row>
    <row r="32">
      <c r="A32" s="6">
        <v>2.0</v>
      </c>
      <c r="B32" s="6">
        <v>2.0</v>
      </c>
      <c r="C32" s="6" t="s">
        <v>55</v>
      </c>
      <c r="D32" s="6" t="s">
        <v>108</v>
      </c>
      <c r="E32" s="6" t="s">
        <v>235</v>
      </c>
      <c r="F32" s="6">
        <v>174.548</v>
      </c>
    </row>
    <row r="33">
      <c r="A33" s="6">
        <v>3.0</v>
      </c>
      <c r="B33" s="6">
        <v>15.0</v>
      </c>
      <c r="C33" s="6" t="s">
        <v>23</v>
      </c>
      <c r="D33" s="6" t="s">
        <v>236</v>
      </c>
      <c r="E33" s="6" t="s">
        <v>237</v>
      </c>
      <c r="F33" s="6">
        <v>173.993</v>
      </c>
    </row>
    <row r="34">
      <c r="A34" s="6">
        <v>4.0</v>
      </c>
      <c r="B34" s="6">
        <v>47.0</v>
      </c>
      <c r="C34" s="6" t="s">
        <v>238</v>
      </c>
      <c r="D34" s="6" t="s">
        <v>236</v>
      </c>
      <c r="E34" s="6" t="s">
        <v>239</v>
      </c>
      <c r="F34" s="6">
        <v>173.667</v>
      </c>
    </row>
    <row r="35">
      <c r="A35" s="6">
        <v>5.0</v>
      </c>
      <c r="B35" s="6">
        <v>3.0</v>
      </c>
      <c r="C35" s="6" t="s">
        <v>12</v>
      </c>
      <c r="D35" s="6" t="s">
        <v>108</v>
      </c>
      <c r="E35" s="6" t="s">
        <v>240</v>
      </c>
      <c r="F35" s="6">
        <v>173.448</v>
      </c>
    </row>
    <row r="36">
      <c r="A36" s="6">
        <v>6.0</v>
      </c>
      <c r="B36" s="6">
        <v>20.0</v>
      </c>
      <c r="C36" s="6" t="s">
        <v>59</v>
      </c>
      <c r="D36" s="6" t="s">
        <v>241</v>
      </c>
      <c r="E36" s="6" t="s">
        <v>242</v>
      </c>
      <c r="F36" s="6">
        <v>173.389</v>
      </c>
    </row>
    <row r="37">
      <c r="A37" s="6">
        <v>7.0</v>
      </c>
      <c r="B37" s="6">
        <v>5.0</v>
      </c>
      <c r="C37" s="6" t="s">
        <v>56</v>
      </c>
      <c r="D37" s="6" t="s">
        <v>110</v>
      </c>
      <c r="E37" s="6" t="s">
        <v>243</v>
      </c>
      <c r="F37" s="6">
        <v>173.344</v>
      </c>
    </row>
    <row r="38">
      <c r="A38" s="6">
        <v>8.0</v>
      </c>
      <c r="B38" s="6">
        <v>76.0</v>
      </c>
      <c r="C38" s="6" t="s">
        <v>15</v>
      </c>
      <c r="D38" s="6" t="s">
        <v>113</v>
      </c>
      <c r="E38" s="6" t="s">
        <v>244</v>
      </c>
      <c r="F38" s="6">
        <v>173.248</v>
      </c>
    </row>
    <row r="39">
      <c r="A39" s="6">
        <v>9.0</v>
      </c>
      <c r="B39" s="6">
        <v>6.0</v>
      </c>
      <c r="C39" s="6" t="s">
        <v>58</v>
      </c>
      <c r="D39" s="6" t="s">
        <v>110</v>
      </c>
      <c r="E39" s="6" t="s">
        <v>245</v>
      </c>
      <c r="F39" s="6">
        <v>172.943</v>
      </c>
    </row>
    <row r="40">
      <c r="A40" s="6">
        <v>10.0</v>
      </c>
      <c r="B40" s="6">
        <v>10.0</v>
      </c>
      <c r="C40" s="6" t="s">
        <v>19</v>
      </c>
      <c r="D40" s="6" t="s">
        <v>104</v>
      </c>
      <c r="E40" s="6" t="s">
        <v>246</v>
      </c>
      <c r="F40" s="6">
        <v>172.888</v>
      </c>
    </row>
    <row r="41">
      <c r="A41" s="6">
        <v>11.0</v>
      </c>
      <c r="B41" s="6">
        <v>27.0</v>
      </c>
      <c r="C41" s="6" t="s">
        <v>13</v>
      </c>
      <c r="D41" s="6" t="s">
        <v>107</v>
      </c>
      <c r="E41" s="6" t="s">
        <v>247</v>
      </c>
      <c r="F41" s="6">
        <v>172.878</v>
      </c>
    </row>
    <row r="42">
      <c r="A42" s="6">
        <v>12.0</v>
      </c>
      <c r="B42" s="6">
        <v>77.0</v>
      </c>
      <c r="C42" s="6" t="s">
        <v>30</v>
      </c>
      <c r="D42" s="6" t="s">
        <v>113</v>
      </c>
      <c r="E42" s="6" t="s">
        <v>248</v>
      </c>
      <c r="F42" s="6">
        <v>172.536</v>
      </c>
    </row>
    <row r="43">
      <c r="A43" s="6">
        <v>13.0</v>
      </c>
      <c r="B43" s="6">
        <v>66.0</v>
      </c>
      <c r="C43" s="6" t="s">
        <v>14</v>
      </c>
      <c r="D43" s="6" t="s">
        <v>111</v>
      </c>
      <c r="E43" s="6" t="s">
        <v>249</v>
      </c>
      <c r="F43" s="6">
        <v>172.434</v>
      </c>
    </row>
    <row r="44">
      <c r="A44" s="6">
        <v>14.0</v>
      </c>
      <c r="B44" s="6">
        <v>28.0</v>
      </c>
      <c r="C44" s="6" t="s">
        <v>20</v>
      </c>
      <c r="D44" s="6" t="s">
        <v>107</v>
      </c>
      <c r="E44" s="6" t="s">
        <v>250</v>
      </c>
      <c r="F44" s="6">
        <v>172.364</v>
      </c>
    </row>
    <row r="45">
      <c r="A45" s="6">
        <v>15.0</v>
      </c>
      <c r="B45" s="6">
        <v>9.0</v>
      </c>
      <c r="C45" s="6" t="s">
        <v>28</v>
      </c>
      <c r="D45" s="6" t="s">
        <v>104</v>
      </c>
      <c r="E45" s="6" t="s">
        <v>251</v>
      </c>
      <c r="F45" s="6">
        <v>172.0</v>
      </c>
    </row>
    <row r="46">
      <c r="A46" s="6">
        <v>16.0</v>
      </c>
      <c r="B46" s="6">
        <v>45.0</v>
      </c>
      <c r="C46" s="6" t="s">
        <v>16</v>
      </c>
      <c r="D46" s="6" t="s">
        <v>236</v>
      </c>
      <c r="E46" s="6" t="s">
        <v>252</v>
      </c>
      <c r="F46" s="6">
        <v>171.8</v>
      </c>
    </row>
    <row r="47">
      <c r="A47" s="6">
        <v>25.0</v>
      </c>
      <c r="B47" s="6">
        <v>26.0</v>
      </c>
      <c r="C47" s="6" t="s">
        <v>54</v>
      </c>
      <c r="D47" s="6" t="s">
        <v>107</v>
      </c>
      <c r="E47" s="6" t="s">
        <v>253</v>
      </c>
      <c r="F47" s="6" t="s">
        <v>254</v>
      </c>
    </row>
    <row r="48">
      <c r="A48" s="6" t="s">
        <v>255</v>
      </c>
      <c r="B48" s="6">
        <v>60.0</v>
      </c>
      <c r="C48" s="6" t="s">
        <v>29</v>
      </c>
      <c r="D48" s="6" t="s">
        <v>111</v>
      </c>
      <c r="E48" s="6" t="s">
        <v>256</v>
      </c>
      <c r="F48" s="6" t="s">
        <v>256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11.25"/>
    <col customWidth="1" min="3" max="3" width="14.5"/>
    <col customWidth="1" min="4" max="4" width="14.25"/>
    <col customWidth="1" min="5" max="5" width="6.5"/>
    <col customWidth="1" min="6" max="6" width="5.88"/>
    <col customWidth="1" min="7" max="7" width="6.5"/>
    <col customWidth="1" min="8" max="8" width="5.88"/>
    <col customWidth="1" min="9" max="9" width="6.5"/>
    <col customWidth="1" min="10" max="10" width="5.88"/>
    <col customWidth="1" min="11" max="11" width="6.5"/>
    <col customWidth="1" min="12" max="12" width="5.88"/>
    <col customWidth="1" min="13" max="13" width="6.5"/>
    <col customWidth="1" min="14" max="14" width="5.88"/>
    <col customWidth="1" min="15" max="15" width="6.5"/>
    <col customWidth="1" min="16" max="16" width="5.88"/>
    <col customWidth="1" min="17" max="17" width="13.5"/>
    <col customWidth="1" min="18" max="18" width="1.88"/>
  </cols>
  <sheetData>
    <row r="1">
      <c r="A1" s="6" t="s">
        <v>0</v>
      </c>
      <c r="B1" s="6" t="s">
        <v>63</v>
      </c>
      <c r="C1" s="6" t="s">
        <v>2</v>
      </c>
      <c r="D1" s="6" t="s">
        <v>257</v>
      </c>
      <c r="E1" s="6" t="s">
        <v>258</v>
      </c>
      <c r="F1" s="6" t="s">
        <v>259</v>
      </c>
      <c r="G1" s="6" t="s">
        <v>260</v>
      </c>
      <c r="H1" s="6" t="s">
        <v>261</v>
      </c>
      <c r="I1" s="6" t="s">
        <v>262</v>
      </c>
      <c r="J1" s="6" t="s">
        <v>263</v>
      </c>
      <c r="K1" s="6" t="s">
        <v>264</v>
      </c>
      <c r="L1" s="6" t="s">
        <v>265</v>
      </c>
      <c r="M1" s="6" t="s">
        <v>266</v>
      </c>
      <c r="N1" s="6" t="s">
        <v>267</v>
      </c>
      <c r="O1" s="6" t="s">
        <v>268</v>
      </c>
      <c r="P1" s="6" t="s">
        <v>269</v>
      </c>
      <c r="Q1" s="6" t="s">
        <v>270</v>
      </c>
      <c r="R1" s="6"/>
    </row>
    <row r="2">
      <c r="A2" s="6" t="s">
        <v>124</v>
      </c>
      <c r="B2" s="6" t="s">
        <v>11</v>
      </c>
      <c r="C2" s="6" t="s">
        <v>271</v>
      </c>
      <c r="D2" s="6" t="s">
        <v>272</v>
      </c>
      <c r="E2" s="6" t="s">
        <v>272</v>
      </c>
      <c r="F2" s="6" t="s">
        <v>272</v>
      </c>
      <c r="G2" s="6" t="s">
        <v>272</v>
      </c>
      <c r="H2" s="6" t="s">
        <v>272</v>
      </c>
      <c r="I2" s="6" t="s">
        <v>272</v>
      </c>
      <c r="J2" s="6" t="s">
        <v>272</v>
      </c>
      <c r="K2" s="6" t="s">
        <v>272</v>
      </c>
      <c r="L2" s="6" t="s">
        <v>272</v>
      </c>
      <c r="M2" s="6" t="s">
        <v>272</v>
      </c>
      <c r="N2" s="6" t="s">
        <v>272</v>
      </c>
      <c r="O2" s="6" t="s">
        <v>272</v>
      </c>
      <c r="P2" s="6" t="s">
        <v>272</v>
      </c>
      <c r="Q2" s="6" t="s">
        <v>272</v>
      </c>
      <c r="R2" s="6">
        <v>0.0</v>
      </c>
    </row>
    <row r="3">
      <c r="A3" s="6" t="s">
        <v>273</v>
      </c>
      <c r="B3" s="6" t="s">
        <v>11</v>
      </c>
      <c r="C3" s="6" t="s">
        <v>31</v>
      </c>
      <c r="D3" s="6" t="s">
        <v>272</v>
      </c>
      <c r="E3" s="6" t="s">
        <v>272</v>
      </c>
      <c r="F3" s="6" t="s">
        <v>272</v>
      </c>
      <c r="G3" s="6" t="s">
        <v>272</v>
      </c>
      <c r="H3" s="6" t="s">
        <v>272</v>
      </c>
      <c r="I3" s="6" t="s">
        <v>272</v>
      </c>
      <c r="J3" s="6" t="s">
        <v>272</v>
      </c>
      <c r="K3" s="6" t="s">
        <v>272</v>
      </c>
      <c r="L3" s="6" t="s">
        <v>272</v>
      </c>
      <c r="M3" s="6" t="s">
        <v>272</v>
      </c>
      <c r="N3" s="6" t="s">
        <v>272</v>
      </c>
      <c r="O3" s="6" t="s">
        <v>272</v>
      </c>
      <c r="P3" s="6" t="s">
        <v>272</v>
      </c>
      <c r="Q3" s="6" t="s">
        <v>272</v>
      </c>
      <c r="R3" s="6">
        <v>0.0</v>
      </c>
    </row>
    <row r="4">
      <c r="A4" s="6" t="s">
        <v>128</v>
      </c>
      <c r="B4" s="6" t="s">
        <v>11</v>
      </c>
      <c r="C4" s="6" t="s">
        <v>34</v>
      </c>
      <c r="D4" s="6" t="s">
        <v>272</v>
      </c>
      <c r="E4" s="6" t="s">
        <v>272</v>
      </c>
      <c r="F4" s="6" t="s">
        <v>272</v>
      </c>
      <c r="G4" s="6" t="s">
        <v>272</v>
      </c>
      <c r="H4" s="6" t="s">
        <v>272</v>
      </c>
      <c r="I4" s="6" t="s">
        <v>272</v>
      </c>
      <c r="J4" s="6" t="s">
        <v>272</v>
      </c>
      <c r="K4" s="6" t="s">
        <v>272</v>
      </c>
      <c r="L4" s="6" t="s">
        <v>272</v>
      </c>
      <c r="M4" s="6" t="s">
        <v>272</v>
      </c>
      <c r="N4" s="6" t="s">
        <v>272</v>
      </c>
      <c r="O4" s="6" t="s">
        <v>272</v>
      </c>
      <c r="P4" s="6" t="s">
        <v>272</v>
      </c>
      <c r="Q4" s="6" t="s">
        <v>272</v>
      </c>
      <c r="R4" s="6">
        <v>0.0</v>
      </c>
    </row>
    <row r="5">
      <c r="A5" s="6" t="s">
        <v>130</v>
      </c>
      <c r="B5" s="6" t="s">
        <v>25</v>
      </c>
      <c r="C5" s="6" t="s">
        <v>35</v>
      </c>
      <c r="D5" s="6" t="s">
        <v>272</v>
      </c>
      <c r="E5" s="6" t="s">
        <v>272</v>
      </c>
      <c r="F5" s="6" t="s">
        <v>272</v>
      </c>
      <c r="G5" s="6" t="s">
        <v>272</v>
      </c>
      <c r="H5" s="6" t="s">
        <v>272</v>
      </c>
      <c r="I5" s="6" t="s">
        <v>272</v>
      </c>
      <c r="J5" s="6" t="s">
        <v>272</v>
      </c>
      <c r="K5" s="6" t="s">
        <v>272</v>
      </c>
      <c r="L5" s="6" t="s">
        <v>272</v>
      </c>
      <c r="M5" s="6" t="s">
        <v>272</v>
      </c>
      <c r="N5" s="6" t="s">
        <v>272</v>
      </c>
      <c r="O5" s="6" t="s">
        <v>272</v>
      </c>
      <c r="P5" s="6" t="s">
        <v>272</v>
      </c>
      <c r="Q5" s="6" t="s">
        <v>272</v>
      </c>
      <c r="R5" s="6">
        <v>0.0</v>
      </c>
    </row>
    <row r="6">
      <c r="A6" s="6" t="s">
        <v>138</v>
      </c>
      <c r="B6" s="6" t="s">
        <v>11</v>
      </c>
      <c r="C6" s="6" t="s">
        <v>274</v>
      </c>
      <c r="D6" s="6" t="s">
        <v>272</v>
      </c>
      <c r="E6" s="6" t="s">
        <v>272</v>
      </c>
      <c r="F6" s="6" t="s">
        <v>272</v>
      </c>
      <c r="G6" s="6" t="s">
        <v>272</v>
      </c>
      <c r="H6" s="6" t="s">
        <v>272</v>
      </c>
      <c r="I6" s="6" t="s">
        <v>272</v>
      </c>
      <c r="J6" s="6" t="s">
        <v>272</v>
      </c>
      <c r="K6" s="6" t="s">
        <v>272</v>
      </c>
      <c r="L6" s="6" t="s">
        <v>272</v>
      </c>
      <c r="M6" s="6" t="s">
        <v>272</v>
      </c>
      <c r="N6" s="6" t="s">
        <v>272</v>
      </c>
      <c r="O6" s="6" t="s">
        <v>272</v>
      </c>
      <c r="P6" s="6" t="s">
        <v>272</v>
      </c>
      <c r="Q6" s="6" t="s">
        <v>272</v>
      </c>
      <c r="R6" s="6">
        <v>0.0</v>
      </c>
    </row>
  </sheetData>
  <drawing r:id="rId1"/>
</worksheet>
</file>